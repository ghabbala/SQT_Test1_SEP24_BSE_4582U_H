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Cases" sheetId="1" state="visible" r:id="rId3"/>
    <sheet name="Summary" sheetId="2" state="visible" r:id="rId4"/>
    <sheet name="Traceability" sheetId="3" state="visible" r:id="rId5"/>
    <sheet name="DecisionTable" sheetId="4" state="visible" r:id="rId6"/>
    <sheet name="StateTable" sheetId="5" state="visible" r:id="rId7"/>
  </sheets>
  <definedNames>
    <definedName function="false" hidden="true" localSheetId="0" name="_xlnm._FilterDatabase" vbProcedure="false">TestCases!$A$4:$J$76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<sst xmlns="http://schemas.openxmlformats.org/spreadsheetml/2006/main" count="944" uniqueCount="449">
  <si>
    <t xml:space="preserve">TicketHub - Test Case Sheet (Appendix B template)</t>
  </si>
  <si>
    <t xml:space="preserve">Designed from Appendix A only (black-box). Expected results hand-calculated from the spec; workings in brackets. Result column = raw execution (pytest --runxfail), Day 5.</t>
  </si>
  <si>
    <t xml:space="preserve">Test case ID</t>
  </si>
  <si>
    <t xml:space="preserve">Requirement(s)</t>
  </si>
  <si>
    <t xml:space="preserve">Technique</t>
  </si>
  <si>
    <t xml:space="preserve">Level / type</t>
  </si>
  <si>
    <t xml:space="preserve">Preconditions</t>
  </si>
  <si>
    <t xml:space="preserve">Test data / steps</t>
  </si>
  <si>
    <t xml:space="preserve">Expected result (with workings)</t>
  </si>
  <si>
    <t xml:space="preserve">Priority</t>
  </si>
  <si>
    <t xml:space="preserve">Automated test</t>
  </si>
  <si>
    <t xml:space="preserve">Result / defect</t>
  </si>
  <si>
    <t xml:space="preserve">TC-01</t>
  </si>
  <si>
    <t xml:space="preserve">REQ-F1, F3, F5</t>
  </si>
  <si>
    <t xml:space="preserve">EP</t>
  </si>
  <si>
    <t xml:space="preserve">Unit / functional</t>
  </si>
  <si>
    <t xml:space="preserve">Module importable; no state</t>
  </si>
  <si>
    <t xml:space="preserve">calculate_total(3, 'PUBLIC') - qty valid class V1, type PUBLIC, promo None</t>
  </si>
  <si>
    <t xml:space="preserve">59.97  [3 x 19.99 = 59.97; rate 0 (PUBLIC, qty&lt;5, no promo)]</t>
  </si>
  <si>
    <t xml:space="preserve">High</t>
  </si>
  <si>
    <t xml:space="preserve">tests/test_pricing.py::test_ep_valid_classes[TC-01]</t>
  </si>
  <si>
    <t xml:space="preserve">Pass</t>
  </si>
  <si>
    <t xml:space="preserve">TC-02</t>
  </si>
  <si>
    <t xml:space="preserve">REQ-F1</t>
  </si>
  <si>
    <t xml:space="preserve">calculate_total(-5, 'PUBLIC') - class I1 integer &lt; 1</t>
  </si>
  <si>
    <t xml:space="preserve">ValueError</t>
  </si>
  <si>
    <t xml:space="preserve">tests/test_pricing.py::test_ep_invalid_quantity[TC-02]</t>
  </si>
  <si>
    <t xml:space="preserve">TC-03</t>
  </si>
  <si>
    <t xml:space="preserve">calculate_total(15, 'PUBLIC') - class I2 integer &gt; 10</t>
  </si>
  <si>
    <t xml:space="preserve">tests/test_pricing.py::test_ep_invalid_quantity[TC-03]</t>
  </si>
  <si>
    <t xml:space="preserve">TC-04</t>
  </si>
  <si>
    <t xml:space="preserve">calculate_total(2.5, 'PUBLIC') - class I3 non-integer number</t>
  </si>
  <si>
    <t xml:space="preserve">TypeError</t>
  </si>
  <si>
    <t xml:space="preserve">Medium</t>
  </si>
  <si>
    <t xml:space="preserve">tests/test_pricing.py::test_ep_invalid_quantity[TC-04]</t>
  </si>
  <si>
    <t xml:space="preserve">TC-05</t>
  </si>
  <si>
    <t xml:space="preserve">calculate_total('3', 'PUBLIC') - class I4 numeric string</t>
  </si>
  <si>
    <t xml:space="preserve">tests/test_pricing.py::test_ep_invalid_quantity[TC-05]</t>
  </si>
  <si>
    <t xml:space="preserve">TC-06</t>
  </si>
  <si>
    <t xml:space="preserve">calculate_total(None, 'PUBLIC') - class I5 None</t>
  </si>
  <si>
    <t xml:space="preserve">tests/test_pricing.py::test_ep_invalid_quantity[TC-06]</t>
  </si>
  <si>
    <t xml:space="preserve">TC-07</t>
  </si>
  <si>
    <t xml:space="preserve">calculate_total(True, 'PUBLIC') - class I6 boolean</t>
  </si>
  <si>
    <t xml:space="preserve">tests/test_pricing.py::test_ep_invalid_quantity[TC-07]</t>
  </si>
  <si>
    <t xml:space="preserve">TC-08</t>
  </si>
  <si>
    <t xml:space="preserve">REQ-F2, F4</t>
  </si>
  <si>
    <t xml:space="preserve">calculate_total(2, 'STUDENT') - type class STUDENT</t>
  </si>
  <si>
    <t xml:space="preserve">31.98  [2 x 19.99 = 39.98; x (1 - 0.20) = 31.984 -&gt; half-up 31.98]</t>
  </si>
  <si>
    <t xml:space="preserve">tests/test_pricing.py::test_ep_valid_classes[TC-08]</t>
  </si>
  <si>
    <t xml:space="preserve">TC-09</t>
  </si>
  <si>
    <t xml:space="preserve">calculate_total(2, 'STAFF') - type class STAFF</t>
  </si>
  <si>
    <t xml:space="preserve">35.98  [2 x 19.99 = 39.98; x (1 - 0.10) = 35.982 -&gt; half-up 35.98]</t>
  </si>
  <si>
    <t xml:space="preserve">tests/test_pricing.py::test_ep_valid_classes[TC-09]</t>
  </si>
  <si>
    <t xml:space="preserve">TC-10</t>
  </si>
  <si>
    <t xml:space="preserve">REQ-F2</t>
  </si>
  <si>
    <t xml:space="preserve">calculate_total(2, 'student') - lower-case type</t>
  </si>
  <si>
    <t xml:space="preserve">tests/test_pricing.py::test_ep_invalid_customer_type[TC-10]</t>
  </si>
  <si>
    <t xml:space="preserve">TC-11</t>
  </si>
  <si>
    <t xml:space="preserve">calculate_total(2, 'ALUMNI') - unknown upper-case type</t>
  </si>
  <si>
    <t xml:space="preserve">tests/test_pricing.py::test_ep_invalid_customer_type[TC-11]</t>
  </si>
  <si>
    <t xml:space="preserve">TC-12</t>
  </si>
  <si>
    <t xml:space="preserve">calculate_total(2, '') - empty type</t>
  </si>
  <si>
    <t xml:space="preserve">tests/test_pricing.py::test_ep_invalid_customer_type[TC-12]</t>
  </si>
  <si>
    <t xml:space="preserve">TC-13</t>
  </si>
  <si>
    <t xml:space="preserve">calculate_total(2, None) - None type</t>
  </si>
  <si>
    <t xml:space="preserve">tests/test_pricing.py::test_ep_invalid_customer_type[TC-13]</t>
  </si>
  <si>
    <t xml:space="preserve">TC-14</t>
  </si>
  <si>
    <t xml:space="preserve">REQ-F4, F6</t>
  </si>
  <si>
    <t xml:space="preserve">calculate_total(2, 'PUBLIC', 'SAVE10') - promo class valid code</t>
  </si>
  <si>
    <t xml:space="preserve">tests/test_pricing.py::test_ep_valid_classes[TC-14]</t>
  </si>
  <si>
    <t xml:space="preserve">TC-15</t>
  </si>
  <si>
    <t xml:space="preserve">REQ-F6</t>
  </si>
  <si>
    <t xml:space="preserve">calculate_total(2, 'PUBLIC', 'save10') - promo wrong case</t>
  </si>
  <si>
    <t xml:space="preserve">ValueError (code is case-sensitive)</t>
  </si>
  <si>
    <t xml:space="preserve">tests/test_pricing.py::test_ep_invalid_promo[TC-15]</t>
  </si>
  <si>
    <t xml:space="preserve">Fail - DEF-04</t>
  </si>
  <si>
    <t xml:space="preserve">TC-16</t>
  </si>
  <si>
    <t xml:space="preserve">calculate_total(2, 'PUBLIC', 'BADCODE') - unknown code</t>
  </si>
  <si>
    <t xml:space="preserve">tests/test_pricing.py::test_ep_invalid_promo[TC-16]</t>
  </si>
  <si>
    <t xml:space="preserve">TC-17</t>
  </si>
  <si>
    <t xml:space="preserve">calculate_total(2, 'PUBLIC', '') - empty string code</t>
  </si>
  <si>
    <t xml:space="preserve">ValueError (empty string is not 'no promo')</t>
  </si>
  <si>
    <t xml:space="preserve">tests/test_pricing.py::test_ep_invalid_promo[TC-17]</t>
  </si>
  <si>
    <t xml:space="preserve">TC-18</t>
  </si>
  <si>
    <t xml:space="preserve">calculate_total(2, 'PUBLIC', 'SAVE10 ') - code with trailing space</t>
  </si>
  <si>
    <t xml:space="preserve">Low</t>
  </si>
  <si>
    <t xml:space="preserve">tests/test_pricing.py::test_ep_invalid_promo[TC-18]</t>
  </si>
  <si>
    <t xml:space="preserve">TC-19</t>
  </si>
  <si>
    <t xml:space="preserve">BVA</t>
  </si>
  <si>
    <t xml:space="preserve">calculate_total(0, 'PUBLIC') - just below lower limit</t>
  </si>
  <si>
    <t xml:space="preserve">tests/test_pricing.py::test_bva_quantity_range[TC-19]</t>
  </si>
  <si>
    <t xml:space="preserve">TC-20</t>
  </si>
  <si>
    <t xml:space="preserve">REQ-F1, F3</t>
  </si>
  <si>
    <t xml:space="preserve">calculate_total(1, 'PUBLIC') - lower limit</t>
  </si>
  <si>
    <t xml:space="preserve">19.99  [1 x 19.99, rate 0]</t>
  </si>
  <si>
    <t xml:space="preserve">tests/test_pricing.py::test_bva_quantity_range[TC-20]</t>
  </si>
  <si>
    <t xml:space="preserve">TC-21</t>
  </si>
  <si>
    <t xml:space="preserve">calculate_total(2, 'PUBLIC') - just above lower limit</t>
  </si>
  <si>
    <t xml:space="preserve">39.98  [2 x 19.99, rate 0]</t>
  </si>
  <si>
    <t xml:space="preserve">tests/test_pricing.py::test_bva_quantity_range[TC-21]</t>
  </si>
  <si>
    <t xml:space="preserve">TC-22</t>
  </si>
  <si>
    <t xml:space="preserve">REQ-F1, F4, F5</t>
  </si>
  <si>
    <t xml:space="preserve">calculate_total(9, 'PUBLIC') - just below upper limit</t>
  </si>
  <si>
    <t xml:space="preserve">170.91  [9 x 19.99 = 179.91; x (1 - 0.05) = 170.9145 -&gt; half-up 170.91]</t>
  </si>
  <si>
    <t xml:space="preserve">tests/test_pricing.py::test_bva_quantity_range[TC-22]</t>
  </si>
  <si>
    <t xml:space="preserve">TC-23</t>
  </si>
  <si>
    <t xml:space="preserve">calculate_total(10, 'PUBLIC') - upper limit</t>
  </si>
  <si>
    <t xml:space="preserve">189.91  [10 x 19.99 = 199.90; x (1 - 0.05) = 189.9050 -&gt; half-up 189.91]</t>
  </si>
  <si>
    <t xml:space="preserve">tests/test_pricing.py::test_bva_quantity_range[TC-23]</t>
  </si>
  <si>
    <t xml:space="preserve">Fail - DEF-01</t>
  </si>
  <si>
    <t xml:space="preserve">TC-24</t>
  </si>
  <si>
    <t xml:space="preserve">calculate_total(11, 'PUBLIC') - just above upper limit</t>
  </si>
  <si>
    <t xml:space="preserve">tests/test_pricing.py::test_bva_quantity_range[TC-24]</t>
  </si>
  <si>
    <t xml:space="preserve">TC-25</t>
  </si>
  <si>
    <t xml:space="preserve">REQ-F4</t>
  </si>
  <si>
    <t xml:space="preserve">calculate_discount / calculate_total(4, 'PUBLIC') - below bulk threshold</t>
  </si>
  <si>
    <t xml:space="preserve">rate 0; total 79.96  [4 x 19.99]</t>
  </si>
  <si>
    <t xml:space="preserve">tests/test_pricing.py::test_bva_bulk_threshold[TC-25]</t>
  </si>
  <si>
    <t xml:space="preserve">TC-26</t>
  </si>
  <si>
    <t xml:space="preserve">REQ-F4, F5</t>
  </si>
  <si>
    <t xml:space="preserve">calculate_discount / calculate_total(5, 'PUBLIC') - at bulk threshold</t>
  </si>
  <si>
    <t xml:space="preserve">rate 0.05; total 94.95  [5 x 19.99 = 99.95; x (1 - 0.05) = 94.9525 -&gt; half-up 94.95]</t>
  </si>
  <si>
    <t xml:space="preserve">tests/test_pricing.py::test_bva_bulk_threshold[TC-26]</t>
  </si>
  <si>
    <t xml:space="preserve">Fail - DEF-02</t>
  </si>
  <si>
    <t xml:space="preserve">TC-27</t>
  </si>
  <si>
    <t xml:space="preserve">calculate_discount / calculate_total(6, 'PUBLIC') - above bulk threshold</t>
  </si>
  <si>
    <t xml:space="preserve">rate 0.05; total 113.94  [6 x 19.99 = 119.94; x (1 - 0.05) = 113.9430 -&gt; half-up 113.94]</t>
  </si>
  <si>
    <t xml:space="preserve">tests/test_pricing.py::test_bva_bulk_threshold[TC-27]</t>
  </si>
  <si>
    <t xml:space="preserve">TC-28</t>
  </si>
  <si>
    <t xml:space="preserve">DT / CEG</t>
  </si>
  <si>
    <t xml:space="preserve">Rule R1: calculate_discount and calculate_total(3, 'STUDENT', 'SAVE10')</t>
  </si>
  <si>
    <t xml:space="preserve">rate 0.25 (20% + 10% = 30% &gt; cap -&gt; 25%); total 44.98  [3 x 19.99 = 59.97; x (1 - 0.25) = 44.9775 -&gt; half-up 44.98]</t>
  </si>
  <si>
    <t xml:space="preserve">tests/test_pricing.py::test_decision_table_rules[TC-28]</t>
  </si>
  <si>
    <t xml:space="preserve">Fail - DEF-03</t>
  </si>
  <si>
    <t xml:space="preserve">TC-29</t>
  </si>
  <si>
    <t xml:space="preserve">Rule R2: calculate_discount and calculate_total(7, 'STUDENT', None)</t>
  </si>
  <si>
    <t xml:space="preserve">rate 0.25 (20% + 5% = 25% (at cap)); total 104.95  [7 x 19.99 = 139.93; x (1 - 0.25) = 104.9475 -&gt; half-up 104.95]</t>
  </si>
  <si>
    <t xml:space="preserve">tests/test_pricing.py::test_decision_table_rules[TC-29]</t>
  </si>
  <si>
    <t xml:space="preserve">Fail - DEF-08</t>
  </si>
  <si>
    <t xml:space="preserve">TC-30</t>
  </si>
  <si>
    <t xml:space="preserve">Rule R3: calculate_discount and calculate_total(3, 'STUDENT', None)</t>
  </si>
  <si>
    <t xml:space="preserve">rate 0.20 (20% + 0%); total 47.98  [3 x 19.99 = 59.97; x (1 - 0.20) = 47.9760 -&gt; half-up 47.98]</t>
  </si>
  <si>
    <t xml:space="preserve">tests/test_pricing.py::test_decision_table_rules[TC-30]</t>
  </si>
  <si>
    <t xml:space="preserve">TC-31</t>
  </si>
  <si>
    <t xml:space="preserve">Rule R4: calculate_discount and calculate_total(3, 'STAFF', 'SAVE10')</t>
  </si>
  <si>
    <t xml:space="preserve">rate 0.20 (10% + 10%); total 47.98  [3 x 19.99 = 59.97; x (1 - 0.20) = 47.9760 -&gt; half-up 47.98]</t>
  </si>
  <si>
    <t xml:space="preserve">tests/test_pricing.py::test_decision_table_rules[TC-31]</t>
  </si>
  <si>
    <t xml:space="preserve">TC-32</t>
  </si>
  <si>
    <t xml:space="preserve">Rule R5: calculate_discount and calculate_total(7, 'STAFF', None)</t>
  </si>
  <si>
    <t xml:space="preserve">rate 0.15 (10% + 5%); total 118.94  [7 x 19.99 = 139.93; x (1 - 0.15) = 118.9405 -&gt; half-up 118.94]</t>
  </si>
  <si>
    <t xml:space="preserve">tests/test_pricing.py::test_decision_table_rules[TC-32]</t>
  </si>
  <si>
    <t xml:space="preserve">TC-33</t>
  </si>
  <si>
    <t xml:space="preserve">Rule R6: calculate_discount and calculate_total(3, 'STAFF', None)</t>
  </si>
  <si>
    <t xml:space="preserve">rate 0.10 (10% + 0%); total 53.97  [3 x 19.99 = 59.97; x (1 - 0.10) = 53.9730 -&gt; half-up 53.97]</t>
  </si>
  <si>
    <t xml:space="preserve">tests/test_pricing.py::test_decision_table_rules[TC-33]</t>
  </si>
  <si>
    <t xml:space="preserve">TC-34</t>
  </si>
  <si>
    <t xml:space="preserve">Rule R7: calculate_discount and calculate_total(3, 'PUBLIC', 'SAVE10')</t>
  </si>
  <si>
    <t xml:space="preserve">rate 0.10 (0% + 10%); total 53.97  [3 x 19.99 = 59.97; x (1 - 0.10) = 53.9730 -&gt; half-up 53.97]</t>
  </si>
  <si>
    <t xml:space="preserve">tests/test_pricing.py::test_decision_table_rules[TC-34]</t>
  </si>
  <si>
    <t xml:space="preserve">TC-35</t>
  </si>
  <si>
    <t xml:space="preserve">Rule R8: calculate_discount and calculate_total(7, 'PUBLIC', None)</t>
  </si>
  <si>
    <t xml:space="preserve">rate 0.05 (0% + 5%); total 132.93  [7 x 19.99 = 139.93; x (1 - 0.05) = 132.9335 -&gt; half-up 132.93]</t>
  </si>
  <si>
    <t xml:space="preserve">tests/test_pricing.py::test_decision_table_rules[TC-35]</t>
  </si>
  <si>
    <t xml:space="preserve">TC-36</t>
  </si>
  <si>
    <t xml:space="preserve">Rule R9: calculate_discount and calculate_total(3, 'PUBLIC', None)</t>
  </si>
  <si>
    <t xml:space="preserve">rate 0 (0% + 0%); total 59.97  [3 x 19.99 = 59.97; x (1 - 0) = 59.9700 -&gt; half-up 59.97]</t>
  </si>
  <si>
    <t xml:space="preserve">tests/test_pricing.py::test_decision_table_rules[TC-36]</t>
  </si>
  <si>
    <t xml:space="preserve">TC-37</t>
  </si>
  <si>
    <t xml:space="preserve">CEG (I1/I2 exclusion)</t>
  </si>
  <si>
    <t xml:space="preserve">calculate_discount and calculate_total(7, 'PUBLIC', 'SAVE10') - promo and bulk both present</t>
  </si>
  <si>
    <t xml:space="preserve">rate 0.10 (promo only, bulk ignored); total 125.94  [7 x 19.99 = 139.93; x (1 - 0.10) = 125.9370 -&gt; half-up 125.94]</t>
  </si>
  <si>
    <t xml:space="preserve">tests/test_pricing.py::test_promo_and_bulk_never_combine[TC-37]</t>
  </si>
  <si>
    <t xml:space="preserve">Fail - DEF-05</t>
  </si>
  <si>
    <t xml:space="preserve">TC-38</t>
  </si>
  <si>
    <t xml:space="preserve">calculate_discount and calculate_total(7, 'STAFF', 'SAVE10') - promo and bulk both present</t>
  </si>
  <si>
    <t xml:space="preserve">rate 0.20 (promo only, bulk ignored); total 111.94  [7 x 19.99 = 139.93; x (1 - 0.20) = 111.9440 -&gt; half-up 111.94]</t>
  </si>
  <si>
    <t xml:space="preserve">tests/test_pricing.py::test_promo_and_bulk_never_combine[TC-38]</t>
  </si>
  <si>
    <t xml:space="preserve">TC-39</t>
  </si>
  <si>
    <t xml:space="preserve">calculate_discount and calculate_total(7, 'STUDENT', 'SAVE10') - promo and bulk both present</t>
  </si>
  <si>
    <t xml:space="preserve">rate 0.25 (promo only, bulk ignored); total 104.95  [7 x 19.99 = 139.93; x (1 - 0.25) = 104.9475 -&gt; half-up 104.95]</t>
  </si>
  <si>
    <t xml:space="preserve">tests/test_pricing.py::test_promo_and_bulk_never_combine[TC-39]</t>
  </si>
  <si>
    <t xml:space="preserve">Fail - DEF-05 (and DEF-03)</t>
  </si>
  <si>
    <t xml:space="preserve">TC-40</t>
  </si>
  <si>
    <t xml:space="preserve">REQ-F5</t>
  </si>
  <si>
    <t xml:space="preserve">EP (3rd decimal = 5)</t>
  </si>
  <si>
    <t xml:space="preserve">calculate_total(5, 'PUBLIC', 'SAVE10')</t>
  </si>
  <si>
    <t xml:space="preserve">89.96  [5 x 19.99 = 99.95; x (1 - 0.10) = 89.9550 -&gt; half-up 89.96; exact half rounds up]</t>
  </si>
  <si>
    <t xml:space="preserve">tests/test_pricing.py::test_rounding_half_up[TC-40]</t>
  </si>
  <si>
    <t xml:space="preserve">TC-41</t>
  </si>
  <si>
    <t xml:space="preserve">EP (3rd decimal &gt; 5)</t>
  </si>
  <si>
    <t xml:space="preserve">calculate_total(4, 'STAFF', 'SAVE10')</t>
  </si>
  <si>
    <t xml:space="preserve">63.97  [4 x 19.99 = 79.96; x (1 - 0.20) = 63.968 -&gt; half-up 63.97]</t>
  </si>
  <si>
    <t xml:space="preserve">tests/test_pricing.py::test_rounding_half_up[TC-41]</t>
  </si>
  <si>
    <t xml:space="preserve">TC-42</t>
  </si>
  <si>
    <t xml:space="preserve">REQ-F7, F5</t>
  </si>
  <si>
    <t xml:space="preserve">ST (initial state)</t>
  </si>
  <si>
    <t xml:space="preserve">o = Order(3, 'STAFF')</t>
  </si>
  <si>
    <t xml:space="preserve">o.state == CREATED; o.total == 53.97 [59.97 x 0.90 = 53.973]</t>
  </si>
  <si>
    <t xml:space="preserve">tests/test_order_lifecycle.py::test_TC_42_new_order_starts_created</t>
  </si>
  <si>
    <t xml:space="preserve">TC-43</t>
  </si>
  <si>
    <t xml:space="preserve">EP (integration)</t>
  </si>
  <si>
    <t xml:space="preserve">Order(0, 'PUBLIC')</t>
  </si>
  <si>
    <t xml:space="preserve">ValueError; no order created</t>
  </si>
  <si>
    <t xml:space="preserve">tests/test_order_lifecycle.py::test_TC_43_invalid_order_not_created</t>
  </si>
  <si>
    <t xml:space="preserve">TC-44</t>
  </si>
  <si>
    <t xml:space="preserve">REQ-F7</t>
  </si>
  <si>
    <t xml:space="preserve">ST (valid transition)</t>
  </si>
  <si>
    <t xml:space="preserve">Order in CREATED</t>
  </si>
  <si>
    <t xml:space="preserve">Order(2,'PUBLIC'); events: none; then pay()</t>
  </si>
  <si>
    <t xml:space="preserve">state CREATED -&gt; PAID (T1)</t>
  </si>
  <si>
    <t xml:space="preserve">tests/test_order_lifecycle.py::test_valid_transitions[TC-44]</t>
  </si>
  <si>
    <t xml:space="preserve">TC-45</t>
  </si>
  <si>
    <t xml:space="preserve">Order(2,'PUBLIC'); events: none; then cancel()</t>
  </si>
  <si>
    <t xml:space="preserve">state CREATED -&gt; CANCELLED (T2)</t>
  </si>
  <si>
    <t xml:space="preserve">tests/test_order_lifecycle.py::test_valid_transitions[TC-45]</t>
  </si>
  <si>
    <t xml:space="preserve">TC-46</t>
  </si>
  <si>
    <t xml:space="preserve">Order in PAID</t>
  </si>
  <si>
    <t xml:space="preserve">Order(2,'PUBLIC'); events: pay; then cancel()</t>
  </si>
  <si>
    <t xml:space="preserve">state PAID -&gt; REFUND_PENDING (T3)</t>
  </si>
  <si>
    <t xml:space="preserve">tests/test_order_lifecycle.py::test_valid_transitions[TC-46]</t>
  </si>
  <si>
    <t xml:space="preserve">Fail - DEF-06</t>
  </si>
  <si>
    <t xml:space="preserve">TC-47</t>
  </si>
  <si>
    <t xml:space="preserve">Order(2,'PUBLIC'); events: pay; then collect()</t>
  </si>
  <si>
    <t xml:space="preserve">state PAID -&gt; COLLECTED (T4)</t>
  </si>
  <si>
    <t xml:space="preserve">tests/test_order_lifecycle.py::test_valid_transitions[TC-47]</t>
  </si>
  <si>
    <t xml:space="preserve">TC-48</t>
  </si>
  <si>
    <t xml:space="preserve">Order in REFUND_PENDING</t>
  </si>
  <si>
    <t xml:space="preserve">Order(2,'PUBLIC'); events: pay, cancel; then complete_refund()</t>
  </si>
  <si>
    <t xml:space="preserve">state REFUND_PENDING -&gt; REFUNDED (T5)</t>
  </si>
  <si>
    <t xml:space="preserve">tests/test_order_lifecycle.py::test_valid_transitions[TC-48]</t>
  </si>
  <si>
    <t xml:space="preserve">Blocked - DEF-06</t>
  </si>
  <si>
    <t xml:space="preserve">TC-49</t>
  </si>
  <si>
    <t xml:space="preserve">ST (invalid pair)</t>
  </si>
  <si>
    <t xml:space="preserve">Order(2,'PUBLIC'); events: none; then collect()</t>
  </si>
  <si>
    <t xml:space="preserve">InvalidTransitionError; state stays CREATED</t>
  </si>
  <si>
    <t xml:space="preserve">tests/test_order_lifecycle.py::test_invalid_transitions_rejected[TC-49]</t>
  </si>
  <si>
    <t xml:space="preserve">TC-50</t>
  </si>
  <si>
    <t xml:space="preserve">Order(2,'PUBLIC'); events: none; then complete_refund()</t>
  </si>
  <si>
    <t xml:space="preserve">tests/test_order_lifecycle.py::test_invalid_transitions_rejected[TC-50]</t>
  </si>
  <si>
    <t xml:space="preserve">TC-51</t>
  </si>
  <si>
    <t xml:space="preserve">Order(2,'PUBLIC'); events: pay; then pay()</t>
  </si>
  <si>
    <t xml:space="preserve">InvalidTransitionError; state stays PAID</t>
  </si>
  <si>
    <t xml:space="preserve">tests/test_order_lifecycle.py::test_invalid_transitions_rejected[TC-51]</t>
  </si>
  <si>
    <t xml:space="preserve">TC-52</t>
  </si>
  <si>
    <t xml:space="preserve">Order(2,'PUBLIC'); events: pay; then complete_refund()</t>
  </si>
  <si>
    <t xml:space="preserve">tests/test_order_lifecycle.py::test_invalid_transitions_rejected[TC-52]</t>
  </si>
  <si>
    <t xml:space="preserve">TC-53</t>
  </si>
  <si>
    <t xml:space="preserve">Order in COLLECTED</t>
  </si>
  <si>
    <t xml:space="preserve">Order(2,'PUBLIC'); events: pay, collect; then pay()</t>
  </si>
  <si>
    <t xml:space="preserve">InvalidTransitionError; state stays COLLECTED</t>
  </si>
  <si>
    <t xml:space="preserve">tests/test_order_lifecycle.py::test_invalid_transitions_rejected[TC-53]</t>
  </si>
  <si>
    <t xml:space="preserve">TC-54</t>
  </si>
  <si>
    <t xml:space="preserve">Order(2,'PUBLIC'); events: pay, collect; then cancel()</t>
  </si>
  <si>
    <t xml:space="preserve">tests/test_order_lifecycle.py::test_invalid_transitions_rejected[TC-54]</t>
  </si>
  <si>
    <t xml:space="preserve">Fail - DEF-07</t>
  </si>
  <si>
    <t xml:space="preserve">TC-55</t>
  </si>
  <si>
    <t xml:space="preserve">Order(2,'PUBLIC'); events: pay, collect; then collect()</t>
  </si>
  <si>
    <t xml:space="preserve">tests/test_order_lifecycle.py::test_invalid_transitions_rejected[TC-55]</t>
  </si>
  <si>
    <t xml:space="preserve">TC-56</t>
  </si>
  <si>
    <t xml:space="preserve">Order(2,'PUBLIC'); events: pay, collect; then complete_refund()</t>
  </si>
  <si>
    <t xml:space="preserve">tests/test_order_lifecycle.py::test_invalid_transitions_rejected[TC-56]</t>
  </si>
  <si>
    <t xml:space="preserve">TC-57</t>
  </si>
  <si>
    <t xml:space="preserve">Order(2,'PUBLIC'); events: pay, cancel; then pay()</t>
  </si>
  <si>
    <t xml:space="preserve">InvalidTransitionError; state stays REFUND_PENDING</t>
  </si>
  <si>
    <t xml:space="preserve">tests/test_order_lifecycle.py::test_invalid_transitions_rejected[TC-57]</t>
  </si>
  <si>
    <t xml:space="preserve">TC-58</t>
  </si>
  <si>
    <t xml:space="preserve">Order(2,'PUBLIC'); events: pay, cancel; then cancel()</t>
  </si>
  <si>
    <t xml:space="preserve">tests/test_order_lifecycle.py::test_invalid_transitions_rejected[TC-58]</t>
  </si>
  <si>
    <t xml:space="preserve">TC-59</t>
  </si>
  <si>
    <t xml:space="preserve">Order(2,'PUBLIC'); events: pay, cancel; then collect()</t>
  </si>
  <si>
    <t xml:space="preserve">tests/test_order_lifecycle.py::test_invalid_transitions_rejected[TC-59]</t>
  </si>
  <si>
    <t xml:space="preserve">TC-60</t>
  </si>
  <si>
    <t xml:space="preserve">Order in REFUNDED</t>
  </si>
  <si>
    <t xml:space="preserve">Order(2,'PUBLIC'); events: pay, cancel, complete_refund; then pay()</t>
  </si>
  <si>
    <t xml:space="preserve">InvalidTransitionError; state stays REFUNDED</t>
  </si>
  <si>
    <t xml:space="preserve">tests/test_order_lifecycle.py::test_invalid_transitions_rejected[TC-60]</t>
  </si>
  <si>
    <t xml:space="preserve">TC-61</t>
  </si>
  <si>
    <t xml:space="preserve">Order(2,'PUBLIC'); events: pay, cancel, complete_refund; then cancel()</t>
  </si>
  <si>
    <t xml:space="preserve">tests/test_order_lifecycle.py::test_invalid_transitions_rejected[TC-61]</t>
  </si>
  <si>
    <t xml:space="preserve">TC-62</t>
  </si>
  <si>
    <t xml:space="preserve">Order(2,'PUBLIC'); events: pay, cancel, complete_refund; then collect()</t>
  </si>
  <si>
    <t xml:space="preserve">tests/test_order_lifecycle.py::test_invalid_transitions_rejected[TC-62]</t>
  </si>
  <si>
    <t xml:space="preserve">TC-63</t>
  </si>
  <si>
    <t xml:space="preserve">Order(2,'PUBLIC'); events: pay, cancel, complete_refund; then complete_refund()</t>
  </si>
  <si>
    <t xml:space="preserve">tests/test_order_lifecycle.py::test_invalid_transitions_rejected[TC-63]</t>
  </si>
  <si>
    <t xml:space="preserve">TC-64</t>
  </si>
  <si>
    <t xml:space="preserve">Order in CANCELLED</t>
  </si>
  <si>
    <t xml:space="preserve">Order(2,'PUBLIC'); events: cancel; then pay()</t>
  </si>
  <si>
    <t xml:space="preserve">InvalidTransitionError; state stays CANCELLED</t>
  </si>
  <si>
    <t xml:space="preserve">tests/test_order_lifecycle.py::test_invalid_transitions_rejected[TC-64]</t>
  </si>
  <si>
    <t xml:space="preserve">TC-65</t>
  </si>
  <si>
    <t xml:space="preserve">Order(2,'PUBLIC'); events: cancel; then cancel()</t>
  </si>
  <si>
    <t xml:space="preserve">tests/test_order_lifecycle.py::test_invalid_transitions_rejected[TC-65]</t>
  </si>
  <si>
    <t xml:space="preserve">TC-66</t>
  </si>
  <si>
    <t xml:space="preserve">Order(2,'PUBLIC'); events: cancel; then collect()</t>
  </si>
  <si>
    <t xml:space="preserve">tests/test_order_lifecycle.py::test_invalid_transitions_rejected[TC-66]</t>
  </si>
  <si>
    <t xml:space="preserve">TC-67</t>
  </si>
  <si>
    <t xml:space="preserve">Order(2,'PUBLIC'); events: cancel; then complete_refund()</t>
  </si>
  <si>
    <t xml:space="preserve">tests/test_order_lifecycle.py::test_invalid_transitions_rejected[TC-67]</t>
  </si>
  <si>
    <t xml:space="preserve">TC-68</t>
  </si>
  <si>
    <t xml:space="preserve">ST (sequence, len 2 + final)</t>
  </si>
  <si>
    <t xml:space="preserve">Order(4,'STUDENT'); pay(); collect(); then each of pay/cancel/collect/complete_refund</t>
  </si>
  <si>
    <t xml:space="preserve">CREATED -&gt; PAID -&gt; COLLECTED; every further event raises InvalidTransitionError; state stays COLLECTED</t>
  </si>
  <si>
    <t xml:space="preserve">tests/test_order_lifecycle.py::test_TC_68_sequence_pay_collect_is_final</t>
  </si>
  <si>
    <t xml:space="preserve">TC-69</t>
  </si>
  <si>
    <t xml:space="preserve">ST (sequence, len 3 + final)</t>
  </si>
  <si>
    <t xml:space="preserve">Order(1,'STAFF'); pay(); cancel(); complete_refund(); pay()</t>
  </si>
  <si>
    <t xml:space="preserve">Trail CREATED &gt; PAID &gt; REFUND_PENDING &gt; REFUNDED; final pay() raises InvalidTransitionError</t>
  </si>
  <si>
    <t xml:space="preserve">tests/test_order_lifecycle.py::test_TC_69_sequence_pay_cancel_refund</t>
  </si>
  <si>
    <t xml:space="preserve">TC-70</t>
  </si>
  <si>
    <t xml:space="preserve">ST (sequence with invalid event)</t>
  </si>
  <si>
    <t xml:space="preserve">Order(2,'PUBLIC'); collect() [rejected]; pay(); collect()</t>
  </si>
  <si>
    <t xml:space="preserve">collect raises InvalidTransitionError; order then reaches COLLECTED normally</t>
  </si>
  <si>
    <t xml:space="preserve">tests/test_order_lifecycle.py::test_TC_70_rejected_event_does_not_corrupt_path</t>
  </si>
  <si>
    <t xml:space="preserve">TC-71</t>
  </si>
  <si>
    <t xml:space="preserve">REQ-N1 (rewritten)</t>
  </si>
  <si>
    <t xml:space="preserve">Manual-style timing smoke</t>
  </si>
  <si>
    <t xml:space="preserve">Unit / non-functional</t>
  </si>
  <si>
    <t xml:space="preserve">2,000 sequential calculate_total calls with valid inputs; measure p95</t>
  </si>
  <si>
    <t xml:space="preserve">p95 &lt; 10 ms (unit-level proxy; NOT evidence for REQ-N2)</t>
  </si>
  <si>
    <t xml:space="preserve">tests/test_nonfunctional.py::test_TC_71_latency_smoke_p95</t>
  </si>
  <si>
    <t xml:space="preserve">TC-72</t>
  </si>
  <si>
    <t xml:space="preserve">EP (error classes)</t>
  </si>
  <si>
    <t xml:space="preserve">calculate_total(0,'PUBLIC'); (1,'student'); (1,'PUBLIC','BAD')</t>
  </si>
  <si>
    <t xml:space="preserve">Each error message names the field: 'quantity', 'customer type', 'promo'</t>
  </si>
  <si>
    <t xml:space="preserve">tests/test_nonfunctional.py::test_TC_72_error_message_names_field[TC-72a..c]</t>
  </si>
  <si>
    <t xml:space="preserve">Execution summary (formulas over TestCases!J)</t>
  </si>
  <si>
    <t xml:space="preserve">Measure</t>
  </si>
  <si>
    <t xml:space="preserve">Count</t>
  </si>
  <si>
    <t xml:space="preserve">Share</t>
  </si>
  <si>
    <t xml:space="preserve">Planned test cases</t>
  </si>
  <si>
    <t xml:space="preserve">Executed (pass + fail)</t>
  </si>
  <si>
    <t xml:space="preserve">Passed</t>
  </si>
  <si>
    <t xml:space="preserve">Failed</t>
  </si>
  <si>
    <t xml:space="preserve">Blocked</t>
  </si>
  <si>
    <t xml:space="preserve">Distinct defects logged</t>
  </si>
  <si>
    <t xml:space="preserve">Source of the defect count: defects/defect_log.md (DEF-01..DEF-08).</t>
  </si>
  <si>
    <t xml:space="preserve">Traceability matrix (B4): requirement -&gt; test cases -&gt; defects</t>
  </si>
  <si>
    <t xml:space="preserve">Requirement</t>
  </si>
  <si>
    <t xml:space="preserve">Summary</t>
  </si>
  <si>
    <t xml:space="preserve">Test cases</t>
  </si>
  <si>
    <t xml:space="preserve"># TCs</t>
  </si>
  <si>
    <t xml:space="preserve">Defects found</t>
  </si>
  <si>
    <t xml:space="preserve">Note</t>
  </si>
  <si>
    <t xml:space="preserve">Quantity 1..10; ValueError / TypeError</t>
  </si>
  <si>
    <t xml:space="preserve">TC-01, TC-02, TC-03, TC-04, TC-05, TC-06, TC-07, TC-19, TC-20, TC-21, TC-22, TC-23, TC-24, TC-43</t>
  </si>
  <si>
    <t xml:space="preserve">DEF-01</t>
  </si>
  <si>
    <t xml:space="preserve">Customer type STUDENT/STAFF/PUBLIC</t>
  </si>
  <si>
    <t xml:space="preserve">TC-08, TC-09, TC-10, TC-11, TC-12, TC-13</t>
  </si>
  <si>
    <t xml:space="preserve">-</t>
  </si>
  <si>
    <t xml:space="preserve">REQ-F3</t>
  </si>
  <si>
    <t xml:space="preserve">Unit price 19.99</t>
  </si>
  <si>
    <t xml:space="preserve">TC-01, TC-20</t>
  </si>
  <si>
    <t xml:space="preserve">Also exercised by every total check (all DT/BVA totals use 19.99).</t>
  </si>
  <si>
    <t xml:space="preserve">Discount rule and 25% cap</t>
  </si>
  <si>
    <t xml:space="preserve">TC-08, TC-09, TC-14, TC-22, TC-23, TC-25, TC-26, TC-27, TC-28, TC-29, TC-30, TC-31, TC-32, TC-33, TC-34, TC-35, TC-36, TC-37, TC-38, TC-39</t>
  </si>
  <si>
    <t xml:space="preserve">DEF-01, DEF-02, DEF-03, DEF-05, DEF-08</t>
  </si>
  <si>
    <t xml:space="preserve">Total, half-up rounding</t>
  </si>
  <si>
    <t xml:space="preserve">TC-01, TC-22, TC-23, TC-26, TC-27, TC-28, TC-29, TC-30, TC-31, TC-32, TC-33, TC-34, TC-35, TC-36, TC-37, TC-38, TC-39, TC-40, TC-41, TC-42</t>
  </si>
  <si>
    <t xml:space="preserve">Promo code SAVE10, case-sensitive</t>
  </si>
  <si>
    <t xml:space="preserve">TC-14, TC-15, TC-16, TC-17, TC-18</t>
  </si>
  <si>
    <t xml:space="preserve">DEF-04</t>
  </si>
  <si>
    <t xml:space="preserve">Order life cycle</t>
  </si>
  <si>
    <t xml:space="preserve">TC-42, TC-44, TC-45, TC-46, TC-47, TC-48, TC-49, TC-50, TC-51, TC-52, TC-53, TC-54, TC-55, TC-56, TC-57, TC-58, TC-59, TC-60, TC-61, TC-62, TC-63, TC-64, TC-65, TC-66, TC-67, TC-68, TC-69, TC-70</t>
  </si>
  <si>
    <t xml:space="preserve">DEF-06, DEF-07</t>
  </si>
  <si>
    <t xml:space="preserve">REQ-N1</t>
  </si>
  <si>
    <t xml:space="preserve">Fast and user-friendly (rewritten in B1)</t>
  </si>
  <si>
    <t xml:space="preserve">TC-71, TC-72</t>
  </si>
  <si>
    <t xml:space="preserve">Untestable as written; TC-71/72 test the rewritten version (B1).</t>
  </si>
  <si>
    <t xml:space="preserve">REQ-N2</t>
  </si>
  <si>
    <t xml:space="preserve">p95 &lt; 200 ms at 500 concurrent users</t>
  </si>
  <si>
    <t xml:space="preserve">Not testable at unit level: needs deployed system + load tool (system-level performance test). Out of scope this week; TC-71 is only an early-warning proxy.</t>
  </si>
  <si>
    <t xml:space="preserve">Full decision table (12 rules) for REQ-F4</t>
  </si>
  <si>
    <t xml:space="preserve">Condition / action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</si>
  <si>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</si>
  <si>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</si>
  <si>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</si>
  <si>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</si>
  <si>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</si>
  <si>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</si>
  <si>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</si>
  <si>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</si>
  <si>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F9</t>
  </si>
  <si>
    <t xml:space="preserve">F10</t>
  </si>
  <si>
    <t xml:space="preserve">F11</t>
  </si>
  <si>
    <t xml:space="preserve">F12</t>
  </si>
  <si>
    <t xml:space="preserve">C1 customer type</t>
  </si>
  <si>
    <t xml:space="preserve">STUDENT</t>
  </si>
  <si>
    <t xml:space="preserve">STAFF</t>
  </si>
  <si>
    <t xml:space="preserve">PUBLIC</t>
  </si>
  <si>
    <t xml:space="preserve">C2 quantity &gt;= 5</t>
  </si>
  <si>
    <t xml:space="preserve">Y</t>
  </si>
  <si>
    <t xml:space="preserve">N</t>
  </si>
  <si>
    <t xml:space="preserve">C3 valid promo SAVE10</t>
  </si>
  <si>
    <t xml:space="preserve">Uncapped sum %</t>
  </si>
  <si>
    <t xml:space="preserve">A1 discount rate %</t>
  </si>
  <si>
    <t xml:space="preserve">Collapsed decision table (9 rules)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</si>
  <si>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</si>
  <si>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</si>
  <si>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</si>
  <si>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</si>
  <si>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</si>
  <si>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</si>
  <si>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</si>
  <si>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</si>
  <si>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</si>
  <si>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Merges full rules</t>
  </si>
  <si>
    <t xml:space="preserve">F1+F2</t>
  </si>
  <si>
    <t xml:space="preserve">F5+F6</t>
  </si>
  <si>
    <t xml:space="preserve">F9+F10</t>
  </si>
  <si>
    <t xml:space="preserve">Test case</t>
  </si>
  <si>
    <t xml:space="preserve">'-' = don't care. When C3 = Y the rate is the same for C2 = Y and C2 = N (promo and bulk never combine), so each pair is merged; 3 x 2 promo rules -&gt; 3, so 12 -&gt; 9 rules with no change to any action.</t>
  </si>
  <si>
    <t xml:space="preserve">State x event table (REQ-F7) with test case IDs</t>
  </si>
  <si>
    <t xml:space="preserve">State \ event</t>
  </si>
  <si>
    <t xml:space="preserve">pay</t>
  </si>
  <si>
    <t xml:space="preserve">cancel</t>
  </si>
  <si>
    <t xml:space="preserve">collect</t>
  </si>
  <si>
    <t xml:space="preserve">complete_refund</t>
  </si>
  <si>
    <t xml:space="preserve">CREATED</t>
  </si>
  <si>
    <t xml:space="preserve">PAID  (TC-44)</t>
  </si>
  <si>
    <t xml:space="preserve">CANCELLED  (TC-45)</t>
  </si>
  <si>
    <t xml:space="preserve">invalid  (TC-49)</t>
  </si>
  <si>
    <t xml:space="preserve">invalid  (TC-50)</t>
  </si>
  <si>
    <t xml:space="preserve">PAID</t>
  </si>
  <si>
    <t xml:space="preserve">invalid  (TC-51)</t>
  </si>
  <si>
    <t xml:space="preserve">REFUND_PENDING  (TC-46)</t>
  </si>
  <si>
    <t xml:space="preserve">COLLECTED  (TC-47)</t>
  </si>
  <si>
    <t xml:space="preserve">invalid  (TC-52)</t>
  </si>
  <si>
    <t xml:space="preserve">COLLECTED</t>
  </si>
  <si>
    <t xml:space="preserve">invalid  (TC-53)</t>
  </si>
  <si>
    <t xml:space="preserve">invalid  (TC-54)</t>
  </si>
  <si>
    <t xml:space="preserve">invalid  (TC-55)</t>
  </si>
  <si>
    <t xml:space="preserve">invalid  (TC-56)</t>
  </si>
  <si>
    <t xml:space="preserve">REFUND_PENDING</t>
  </si>
  <si>
    <t xml:space="preserve">invalid  (TC-57)</t>
  </si>
  <si>
    <t xml:space="preserve">invalid  (TC-58)</t>
  </si>
  <si>
    <t xml:space="preserve">invalid  (TC-59)</t>
  </si>
  <si>
    <t xml:space="preserve">REFUNDED  (TC-48)</t>
  </si>
  <si>
    <t xml:space="preserve">REFUNDED</t>
  </si>
  <si>
    <t xml:space="preserve">invalid  (TC-60)</t>
  </si>
  <si>
    <t xml:space="preserve">invalid  (TC-61)</t>
  </si>
  <si>
    <t xml:space="preserve">invalid  (TC-62)</t>
  </si>
  <si>
    <t xml:space="preserve">invalid  (TC-63)</t>
  </si>
  <si>
    <t xml:space="preserve">CANCELLED</t>
  </si>
  <si>
    <t xml:space="preserve">invalid  (TC-64)</t>
  </si>
  <si>
    <t xml:space="preserve">invalid  (TC-65)</t>
  </si>
  <si>
    <t xml:space="preserve">invalid  (TC-66)</t>
  </si>
  <si>
    <t xml:space="preserve">invalid  (TC-67)</t>
  </si>
  <si>
    <t xml:space="preserve">5 valid cells + 19 invalid cells = 24 = 6 states x 4 events. All 24 have a test case (all-transitions + all invalid pairs).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</si>
</sst>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40"/>
    <col collapsed="false" customWidth="true" hidden="false" outlineLevel="0" max="7" min="7" style="0" width="52"/>
    <col collapsed="false" customWidth="true" hidden="false" outlineLevel="0" max="8" min="8" style="0" width="8"/>
    <col collapsed="false" customWidth="true" hidden="false" outlineLevel="0" max="9" min="9" style="0" width="44"/>
    <col collapsed="false" customWidth="true" hidden="false" outlineLevel="0" max="10" min="10" style="0" width="17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5.0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22.35" hidden="false" customHeight="false" outlineLevel="0" collapsed="false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  <c r="I5" s="4" t="s">
        <v>20</v>
      </c>
      <c r="J5" s="4" t="s">
        <v>21</v>
      </c>
    </row>
    <row r="6" customFormat="false" ht="22.35" hidden="false" customHeight="false" outlineLevel="0" collapsed="false">
      <c r="A6" s="4" t="s">
        <v>22</v>
      </c>
      <c r="B6" s="4" t="s">
        <v>23</v>
      </c>
      <c r="C6" s="4" t="s">
        <v>14</v>
      </c>
      <c r="D6" s="4" t="s">
        <v>15</v>
      </c>
      <c r="E6" s="4" t="s">
        <v>16</v>
      </c>
      <c r="F6" s="4" t="s">
        <v>24</v>
      </c>
      <c r="G6" s="4" t="s">
        <v>25</v>
      </c>
      <c r="H6" s="4" t="s">
        <v>19</v>
      </c>
      <c r="I6" s="4" t="s">
        <v>26</v>
      </c>
      <c r="J6" s="4" t="s">
        <v>21</v>
      </c>
    </row>
    <row r="7" customFormat="false" ht="22.35" hidden="false" customHeight="false" outlineLevel="0" collapsed="false">
      <c r="A7" s="4" t="s">
        <v>27</v>
      </c>
      <c r="B7" s="4" t="s">
        <v>23</v>
      </c>
      <c r="C7" s="4" t="s">
        <v>14</v>
      </c>
      <c r="D7" s="4" t="s">
        <v>15</v>
      </c>
      <c r="E7" s="4" t="s">
        <v>16</v>
      </c>
      <c r="F7" s="4" t="s">
        <v>28</v>
      </c>
      <c r="G7" s="4" t="s">
        <v>25</v>
      </c>
      <c r="H7" s="4" t="s">
        <v>19</v>
      </c>
      <c r="I7" s="4" t="s">
        <v>29</v>
      </c>
      <c r="J7" s="4" t="s">
        <v>21</v>
      </c>
    </row>
    <row r="8" customFormat="false" ht="22.35" hidden="false" customHeight="false" outlineLevel="0" collapsed="false">
      <c r="A8" s="4" t="s">
        <v>30</v>
      </c>
      <c r="B8" s="4" t="s">
        <v>23</v>
      </c>
      <c r="C8" s="4" t="s">
        <v>14</v>
      </c>
      <c r="D8" s="4" t="s">
        <v>15</v>
      </c>
      <c r="E8" s="4" t="s">
        <v>16</v>
      </c>
      <c r="F8" s="4" t="s">
        <v>31</v>
      </c>
      <c r="G8" s="4" t="s">
        <v>32</v>
      </c>
      <c r="H8" s="4" t="s">
        <v>33</v>
      </c>
      <c r="I8" s="4" t="s">
        <v>34</v>
      </c>
      <c r="J8" s="4" t="s">
        <v>21</v>
      </c>
    </row>
    <row r="9" customFormat="false" ht="22.35" hidden="false" customHeight="false" outlineLevel="0" collapsed="false">
      <c r="A9" s="4" t="s">
        <v>35</v>
      </c>
      <c r="B9" s="4" t="s">
        <v>23</v>
      </c>
      <c r="C9" s="4" t="s">
        <v>14</v>
      </c>
      <c r="D9" s="4" t="s">
        <v>15</v>
      </c>
      <c r="E9" s="4" t="s">
        <v>16</v>
      </c>
      <c r="F9" s="4" t="s">
        <v>36</v>
      </c>
      <c r="G9" s="4" t="s">
        <v>32</v>
      </c>
      <c r="H9" s="4" t="s">
        <v>19</v>
      </c>
      <c r="I9" s="4" t="s">
        <v>37</v>
      </c>
      <c r="J9" s="4" t="s">
        <v>21</v>
      </c>
    </row>
    <row r="10" customFormat="false" ht="22.35" hidden="false" customHeight="false" outlineLevel="0" collapsed="false">
      <c r="A10" s="4" t="s">
        <v>38</v>
      </c>
      <c r="B10" s="4" t="s">
        <v>23</v>
      </c>
      <c r="C10" s="4" t="s">
        <v>14</v>
      </c>
      <c r="D10" s="4" t="s">
        <v>15</v>
      </c>
      <c r="E10" s="4" t="s">
        <v>16</v>
      </c>
      <c r="F10" s="4" t="s">
        <v>39</v>
      </c>
      <c r="G10" s="4" t="s">
        <v>32</v>
      </c>
      <c r="H10" s="4" t="s">
        <v>33</v>
      </c>
      <c r="I10" s="4" t="s">
        <v>40</v>
      </c>
      <c r="J10" s="4" t="s">
        <v>21</v>
      </c>
    </row>
    <row r="11" customFormat="false" ht="22.35" hidden="false" customHeight="false" outlineLevel="0" collapsed="false">
      <c r="A11" s="4" t="s">
        <v>41</v>
      </c>
      <c r="B11" s="4" t="s">
        <v>23</v>
      </c>
      <c r="C11" s="4" t="s">
        <v>14</v>
      </c>
      <c r="D11" s="4" t="s">
        <v>15</v>
      </c>
      <c r="E11" s="4" t="s">
        <v>16</v>
      </c>
      <c r="F11" s="4" t="s">
        <v>42</v>
      </c>
      <c r="G11" s="4" t="s">
        <v>32</v>
      </c>
      <c r="H11" s="4" t="s">
        <v>33</v>
      </c>
      <c r="I11" s="4" t="s">
        <v>43</v>
      </c>
      <c r="J11" s="4" t="s">
        <v>21</v>
      </c>
    </row>
    <row r="12" customFormat="false" ht="22.35" hidden="false" customHeight="false" outlineLevel="0" collapsed="false">
      <c r="A12" s="4" t="s">
        <v>44</v>
      </c>
      <c r="B12" s="4" t="s">
        <v>45</v>
      </c>
      <c r="C12" s="4" t="s">
        <v>14</v>
      </c>
      <c r="D12" s="4" t="s">
        <v>15</v>
      </c>
      <c r="E12" s="4" t="s">
        <v>16</v>
      </c>
      <c r="F12" s="4" t="s">
        <v>46</v>
      </c>
      <c r="G12" s="4" t="s">
        <v>47</v>
      </c>
      <c r="H12" s="4" t="s">
        <v>19</v>
      </c>
      <c r="I12" s="4" t="s">
        <v>48</v>
      </c>
      <c r="J12" s="4" t="s">
        <v>21</v>
      </c>
    </row>
    <row r="13" customFormat="false" ht="22.35" hidden="false" customHeight="false" outlineLevel="0" collapsed="false">
      <c r="A13" s="4" t="s">
        <v>49</v>
      </c>
      <c r="B13" s="4" t="s">
        <v>45</v>
      </c>
      <c r="C13" s="4" t="s">
        <v>14</v>
      </c>
      <c r="D13" s="4" t="s">
        <v>15</v>
      </c>
      <c r="E13" s="4" t="s">
        <v>16</v>
      </c>
      <c r="F13" s="4" t="s">
        <v>50</v>
      </c>
      <c r="G13" s="4" t="s">
        <v>51</v>
      </c>
      <c r="H13" s="4" t="s">
        <v>19</v>
      </c>
      <c r="I13" s="4" t="s">
        <v>52</v>
      </c>
      <c r="J13" s="4" t="s">
        <v>21</v>
      </c>
    </row>
    <row r="14" customFormat="false" ht="22.35" hidden="false" customHeight="false" outlineLevel="0" collapsed="false">
      <c r="A14" s="4" t="s">
        <v>53</v>
      </c>
      <c r="B14" s="4" t="s">
        <v>54</v>
      </c>
      <c r="C14" s="4" t="s">
        <v>14</v>
      </c>
      <c r="D14" s="4" t="s">
        <v>15</v>
      </c>
      <c r="E14" s="4" t="s">
        <v>16</v>
      </c>
      <c r="F14" s="4" t="s">
        <v>55</v>
      </c>
      <c r="G14" s="4" t="s">
        <v>25</v>
      </c>
      <c r="H14" s="4" t="s">
        <v>19</v>
      </c>
      <c r="I14" s="4" t="s">
        <v>56</v>
      </c>
      <c r="J14" s="4" t="s">
        <v>21</v>
      </c>
    </row>
    <row r="15" customFormat="false" ht="22.35" hidden="false" customHeight="false" outlineLevel="0" collapsed="false">
      <c r="A15" s="4" t="s">
        <v>57</v>
      </c>
      <c r="B15" s="4" t="s">
        <v>54</v>
      </c>
      <c r="C15" s="4" t="s">
        <v>14</v>
      </c>
      <c r="D15" s="4" t="s">
        <v>15</v>
      </c>
      <c r="E15" s="4" t="s">
        <v>16</v>
      </c>
      <c r="F15" s="4" t="s">
        <v>58</v>
      </c>
      <c r="G15" s="4" t="s">
        <v>25</v>
      </c>
      <c r="H15" s="4" t="s">
        <v>33</v>
      </c>
      <c r="I15" s="4" t="s">
        <v>59</v>
      </c>
      <c r="J15" s="4" t="s">
        <v>21</v>
      </c>
    </row>
    <row r="16" customFormat="false" ht="22.35" hidden="false" customHeight="false" outlineLevel="0" collapsed="false">
      <c r="A16" s="4" t="s">
        <v>60</v>
      </c>
      <c r="B16" s="4" t="s">
        <v>54</v>
      </c>
      <c r="C16" s="4" t="s">
        <v>14</v>
      </c>
      <c r="D16" s="4" t="s">
        <v>15</v>
      </c>
      <c r="E16" s="4" t="s">
        <v>16</v>
      </c>
      <c r="F16" s="4" t="s">
        <v>61</v>
      </c>
      <c r="G16" s="4" t="s">
        <v>25</v>
      </c>
      <c r="H16" s="4" t="s">
        <v>33</v>
      </c>
      <c r="I16" s="4" t="s">
        <v>62</v>
      </c>
      <c r="J16" s="4" t="s">
        <v>21</v>
      </c>
    </row>
    <row r="17" customFormat="false" ht="22.35" hidden="false" customHeight="false" outlineLevel="0" collapsed="false">
      <c r="A17" s="4" t="s">
        <v>63</v>
      </c>
      <c r="B17" s="4" t="s">
        <v>54</v>
      </c>
      <c r="C17" s="4" t="s">
        <v>14</v>
      </c>
      <c r="D17" s="4" t="s">
        <v>15</v>
      </c>
      <c r="E17" s="4" t="s">
        <v>16</v>
      </c>
      <c r="F17" s="4" t="s">
        <v>64</v>
      </c>
      <c r="G17" s="4" t="s">
        <v>25</v>
      </c>
      <c r="H17" s="4" t="s">
        <v>33</v>
      </c>
      <c r="I17" s="4" t="s">
        <v>65</v>
      </c>
      <c r="J17" s="4" t="s">
        <v>21</v>
      </c>
    </row>
    <row r="18" customFormat="false" ht="22.35" hidden="false" customHeight="false" outlineLevel="0" collapsed="false">
      <c r="A18" s="4" t="s">
        <v>66</v>
      </c>
      <c r="B18" s="4" t="s">
        <v>67</v>
      </c>
      <c r="C18" s="4" t="s">
        <v>14</v>
      </c>
      <c r="D18" s="4" t="s">
        <v>15</v>
      </c>
      <c r="E18" s="4" t="s">
        <v>16</v>
      </c>
      <c r="F18" s="4" t="s">
        <v>68</v>
      </c>
      <c r="G18" s="4" t="s">
        <v>51</v>
      </c>
      <c r="H18" s="4" t="s">
        <v>19</v>
      </c>
      <c r="I18" s="4" t="s">
        <v>69</v>
      </c>
      <c r="J18" s="4" t="s">
        <v>21</v>
      </c>
    </row>
    <row r="19" customFormat="false" ht="22.35" hidden="false" customHeight="false" outlineLevel="0" collapsed="false">
      <c r="A19" s="4" t="s">
        <v>70</v>
      </c>
      <c r="B19" s="4" t="s">
        <v>71</v>
      </c>
      <c r="C19" s="4" t="s">
        <v>14</v>
      </c>
      <c r="D19" s="4" t="s">
        <v>15</v>
      </c>
      <c r="E19" s="4" t="s">
        <v>16</v>
      </c>
      <c r="F19" s="4" t="s">
        <v>72</v>
      </c>
      <c r="G19" s="4" t="s">
        <v>73</v>
      </c>
      <c r="H19" s="4" t="s">
        <v>19</v>
      </c>
      <c r="I19" s="4" t="s">
        <v>74</v>
      </c>
      <c r="J19" s="4" t="s">
        <v>75</v>
      </c>
    </row>
    <row r="20" customFormat="false" ht="22.35" hidden="false" customHeight="false" outlineLevel="0" collapsed="false">
      <c r="A20" s="4" t="s">
        <v>76</v>
      </c>
      <c r="B20" s="4" t="s">
        <v>71</v>
      </c>
      <c r="C20" s="4" t="s">
        <v>14</v>
      </c>
      <c r="D20" s="4" t="s">
        <v>15</v>
      </c>
      <c r="E20" s="4" t="s">
        <v>16</v>
      </c>
      <c r="F20" s="4" t="s">
        <v>77</v>
      </c>
      <c r="G20" s="4" t="s">
        <v>25</v>
      </c>
      <c r="H20" s="4" t="s">
        <v>19</v>
      </c>
      <c r="I20" s="4" t="s">
        <v>78</v>
      </c>
      <c r="J20" s="4" t="s">
        <v>21</v>
      </c>
    </row>
    <row r="21" customFormat="false" ht="22.35" hidden="false" customHeight="false" outlineLevel="0" collapsed="false">
      <c r="A21" s="4" t="s">
        <v>79</v>
      </c>
      <c r="B21" s="4" t="s">
        <v>71</v>
      </c>
      <c r="C21" s="4" t="s">
        <v>14</v>
      </c>
      <c r="D21" s="4" t="s">
        <v>15</v>
      </c>
      <c r="E21" s="4" t="s">
        <v>16</v>
      </c>
      <c r="F21" s="4" t="s">
        <v>80</v>
      </c>
      <c r="G21" s="4" t="s">
        <v>81</v>
      </c>
      <c r="H21" s="4" t="s">
        <v>33</v>
      </c>
      <c r="I21" s="4" t="s">
        <v>82</v>
      </c>
      <c r="J21" s="4" t="s">
        <v>21</v>
      </c>
    </row>
    <row r="22" customFormat="false" ht="22.35" hidden="false" customHeight="false" outlineLevel="0" collapsed="false">
      <c r="A22" s="4" t="s">
        <v>83</v>
      </c>
      <c r="B22" s="4" t="s">
        <v>71</v>
      </c>
      <c r="C22" s="4" t="s">
        <v>14</v>
      </c>
      <c r="D22" s="4" t="s">
        <v>15</v>
      </c>
      <c r="E22" s="4" t="s">
        <v>16</v>
      </c>
      <c r="F22" s="4" t="s">
        <v>84</v>
      </c>
      <c r="G22" s="4" t="s">
        <v>25</v>
      </c>
      <c r="H22" s="4" t="s">
        <v>85</v>
      </c>
      <c r="I22" s="4" t="s">
        <v>86</v>
      </c>
      <c r="J22" s="4" t="s">
        <v>21</v>
      </c>
    </row>
    <row r="23" customFormat="false" ht="22.35" hidden="false" customHeight="false" outlineLevel="0" collapsed="false">
      <c r="A23" s="4" t="s">
        <v>87</v>
      </c>
      <c r="B23" s="4" t="s">
        <v>23</v>
      </c>
      <c r="C23" s="4" t="s">
        <v>88</v>
      </c>
      <c r="D23" s="4" t="s">
        <v>15</v>
      </c>
      <c r="E23" s="4" t="s">
        <v>16</v>
      </c>
      <c r="F23" s="4" t="s">
        <v>89</v>
      </c>
      <c r="G23" s="4" t="s">
        <v>25</v>
      </c>
      <c r="H23" s="4" t="s">
        <v>19</v>
      </c>
      <c r="I23" s="4" t="s">
        <v>90</v>
      </c>
      <c r="J23" s="4" t="s">
        <v>21</v>
      </c>
    </row>
    <row r="24" customFormat="false" ht="22.35" hidden="false" customHeight="false" outlineLevel="0" collapsed="false">
      <c r="A24" s="4" t="s">
        <v>91</v>
      </c>
      <c r="B24" s="4" t="s">
        <v>92</v>
      </c>
      <c r="C24" s="4" t="s">
        <v>88</v>
      </c>
      <c r="D24" s="4" t="s">
        <v>15</v>
      </c>
      <c r="E24" s="4" t="s">
        <v>16</v>
      </c>
      <c r="F24" s="4" t="s">
        <v>93</v>
      </c>
      <c r="G24" s="4" t="s">
        <v>94</v>
      </c>
      <c r="H24" s="4" t="s">
        <v>19</v>
      </c>
      <c r="I24" s="4" t="s">
        <v>95</v>
      </c>
      <c r="J24" s="4" t="s">
        <v>21</v>
      </c>
    </row>
    <row r="25" customFormat="false" ht="22.35" hidden="false" customHeight="false" outlineLevel="0" collapsed="false">
      <c r="A25" s="4" t="s">
        <v>96</v>
      </c>
      <c r="B25" s="4" t="s">
        <v>23</v>
      </c>
      <c r="C25" s="4" t="s">
        <v>88</v>
      </c>
      <c r="D25" s="4" t="s">
        <v>15</v>
      </c>
      <c r="E25" s="4" t="s">
        <v>16</v>
      </c>
      <c r="F25" s="4" t="s">
        <v>97</v>
      </c>
      <c r="G25" s="4" t="s">
        <v>98</v>
      </c>
      <c r="H25" s="4" t="s">
        <v>33</v>
      </c>
      <c r="I25" s="4" t="s">
        <v>99</v>
      </c>
      <c r="J25" s="4" t="s">
        <v>21</v>
      </c>
    </row>
    <row r="26" customFormat="false" ht="22.35" hidden="false" customHeight="false" outlineLevel="0" collapsed="false">
      <c r="A26" s="4" t="s">
        <v>100</v>
      </c>
      <c r="B26" s="4" t="s">
        <v>101</v>
      </c>
      <c r="C26" s="4" t="s">
        <v>88</v>
      </c>
      <c r="D26" s="4" t="s">
        <v>15</v>
      </c>
      <c r="E26" s="4" t="s">
        <v>16</v>
      </c>
      <c r="F26" s="4" t="s">
        <v>102</v>
      </c>
      <c r="G26" s="4" t="s">
        <v>103</v>
      </c>
      <c r="H26" s="4" t="s">
        <v>33</v>
      </c>
      <c r="I26" s="4" t="s">
        <v>104</v>
      </c>
      <c r="J26" s="4" t="s">
        <v>21</v>
      </c>
    </row>
    <row r="27" customFormat="false" ht="22.35" hidden="false" customHeight="false" outlineLevel="0" collapsed="false">
      <c r="A27" s="4" t="s">
        <v>105</v>
      </c>
      <c r="B27" s="4" t="s">
        <v>101</v>
      </c>
      <c r="C27" s="4" t="s">
        <v>88</v>
      </c>
      <c r="D27" s="4" t="s">
        <v>15</v>
      </c>
      <c r="E27" s="4" t="s">
        <v>16</v>
      </c>
      <c r="F27" s="4" t="s">
        <v>106</v>
      </c>
      <c r="G27" s="4" t="s">
        <v>107</v>
      </c>
      <c r="H27" s="4" t="s">
        <v>19</v>
      </c>
      <c r="I27" s="4" t="s">
        <v>108</v>
      </c>
      <c r="J27" s="4" t="s">
        <v>109</v>
      </c>
    </row>
    <row r="28" customFormat="false" ht="22.35" hidden="false" customHeight="false" outlineLevel="0" collapsed="false">
      <c r="A28" s="4" t="s">
        <v>110</v>
      </c>
      <c r="B28" s="4" t="s">
        <v>23</v>
      </c>
      <c r="C28" s="4" t="s">
        <v>88</v>
      </c>
      <c r="D28" s="4" t="s">
        <v>15</v>
      </c>
      <c r="E28" s="4" t="s">
        <v>16</v>
      </c>
      <c r="F28" s="4" t="s">
        <v>111</v>
      </c>
      <c r="G28" s="4" t="s">
        <v>25</v>
      </c>
      <c r="H28" s="4" t="s">
        <v>19</v>
      </c>
      <c r="I28" s="4" t="s">
        <v>112</v>
      </c>
      <c r="J28" s="4" t="s">
        <v>21</v>
      </c>
    </row>
    <row r="29" customFormat="false" ht="22.35" hidden="false" customHeight="false" outlineLevel="0" collapsed="false">
      <c r="A29" s="4" t="s">
        <v>113</v>
      </c>
      <c r="B29" s="4" t="s">
        <v>114</v>
      </c>
      <c r="C29" s="4" t="s">
        <v>88</v>
      </c>
      <c r="D29" s="4" t="s">
        <v>15</v>
      </c>
      <c r="E29" s="4" t="s">
        <v>16</v>
      </c>
      <c r="F29" s="4" t="s">
        <v>115</v>
      </c>
      <c r="G29" s="4" t="s">
        <v>116</v>
      </c>
      <c r="H29" s="4" t="s">
        <v>19</v>
      </c>
      <c r="I29" s="4" t="s">
        <v>117</v>
      </c>
      <c r="J29" s="4" t="s">
        <v>21</v>
      </c>
    </row>
    <row r="30" customFormat="false" ht="22.35" hidden="false" customHeight="false" outlineLevel="0" collapsed="false">
      <c r="A30" s="4" t="s">
        <v>118</v>
      </c>
      <c r="B30" s="4" t="s">
        <v>119</v>
      </c>
      <c r="C30" s="4" t="s">
        <v>88</v>
      </c>
      <c r="D30" s="4" t="s">
        <v>15</v>
      </c>
      <c r="E30" s="4" t="s">
        <v>16</v>
      </c>
      <c r="F30" s="4" t="s">
        <v>120</v>
      </c>
      <c r="G30" s="4" t="s">
        <v>121</v>
      </c>
      <c r="H30" s="4" t="s">
        <v>19</v>
      </c>
      <c r="I30" s="4" t="s">
        <v>122</v>
      </c>
      <c r="J30" s="4" t="s">
        <v>123</v>
      </c>
    </row>
    <row r="31" customFormat="false" ht="22.35" hidden="false" customHeight="false" outlineLevel="0" collapsed="false">
      <c r="A31" s="4" t="s">
        <v>124</v>
      </c>
      <c r="B31" s="4" t="s">
        <v>119</v>
      </c>
      <c r="C31" s="4" t="s">
        <v>88</v>
      </c>
      <c r="D31" s="4" t="s">
        <v>15</v>
      </c>
      <c r="E31" s="4" t="s">
        <v>16</v>
      </c>
      <c r="F31" s="4" t="s">
        <v>125</v>
      </c>
      <c r="G31" s="4" t="s">
        <v>126</v>
      </c>
      <c r="H31" s="4" t="s">
        <v>33</v>
      </c>
      <c r="I31" s="4" t="s">
        <v>127</v>
      </c>
      <c r="J31" s="4" t="s">
        <v>21</v>
      </c>
    </row>
    <row r="32" customFormat="false" ht="22.35" hidden="false" customHeight="false" outlineLevel="0" collapsed="false">
      <c r="A32" s="4" t="s">
        <v>128</v>
      </c>
      <c r="B32" s="4" t="s">
        <v>119</v>
      </c>
      <c r="C32" s="4" t="s">
        <v>129</v>
      </c>
      <c r="D32" s="4" t="s">
        <v>15</v>
      </c>
      <c r="E32" s="4" t="s">
        <v>16</v>
      </c>
      <c r="F32" s="4" t="s">
        <v>130</v>
      </c>
      <c r="G32" s="4" t="s">
        <v>131</v>
      </c>
      <c r="H32" s="4" t="s">
        <v>19</v>
      </c>
      <c r="I32" s="4" t="s">
        <v>132</v>
      </c>
      <c r="J32" s="4" t="s">
        <v>133</v>
      </c>
    </row>
    <row r="33" customFormat="false" ht="22.35" hidden="false" customHeight="false" outlineLevel="0" collapsed="false">
      <c r="A33" s="4" t="s">
        <v>134</v>
      </c>
      <c r="B33" s="4" t="s">
        <v>119</v>
      </c>
      <c r="C33" s="4" t="s">
        <v>129</v>
      </c>
      <c r="D33" s="4" t="s">
        <v>15</v>
      </c>
      <c r="E33" s="4" t="s">
        <v>16</v>
      </c>
      <c r="F33" s="4" t="s">
        <v>135</v>
      </c>
      <c r="G33" s="4" t="s">
        <v>136</v>
      </c>
      <c r="H33" s="4" t="s">
        <v>19</v>
      </c>
      <c r="I33" s="4" t="s">
        <v>137</v>
      </c>
      <c r="J33" s="4" t="s">
        <v>138</v>
      </c>
    </row>
    <row r="34" customFormat="false" ht="22.35" hidden="false" customHeight="false" outlineLevel="0" collapsed="false">
      <c r="A34" s="4" t="s">
        <v>139</v>
      </c>
      <c r="B34" s="4" t="s">
        <v>119</v>
      </c>
      <c r="C34" s="4" t="s">
        <v>129</v>
      </c>
      <c r="D34" s="4" t="s">
        <v>15</v>
      </c>
      <c r="E34" s="4" t="s">
        <v>16</v>
      </c>
      <c r="F34" s="4" t="s">
        <v>140</v>
      </c>
      <c r="G34" s="4" t="s">
        <v>141</v>
      </c>
      <c r="H34" s="4" t="s">
        <v>19</v>
      </c>
      <c r="I34" s="4" t="s">
        <v>142</v>
      </c>
      <c r="J34" s="4" t="s">
        <v>138</v>
      </c>
    </row>
    <row r="35" customFormat="false" ht="22.35" hidden="false" customHeight="false" outlineLevel="0" collapsed="false">
      <c r="A35" s="4" t="s">
        <v>143</v>
      </c>
      <c r="B35" s="4" t="s">
        <v>119</v>
      </c>
      <c r="C35" s="4" t="s">
        <v>129</v>
      </c>
      <c r="D35" s="4" t="s">
        <v>15</v>
      </c>
      <c r="E35" s="4" t="s">
        <v>16</v>
      </c>
      <c r="F35" s="4" t="s">
        <v>144</v>
      </c>
      <c r="G35" s="4" t="s">
        <v>145</v>
      </c>
      <c r="H35" s="4" t="s">
        <v>19</v>
      </c>
      <c r="I35" s="4" t="s">
        <v>146</v>
      </c>
      <c r="J35" s="4" t="s">
        <v>138</v>
      </c>
    </row>
    <row r="36" customFormat="false" ht="22.35" hidden="false" customHeight="false" outlineLevel="0" collapsed="false">
      <c r="A36" s="4" t="s">
        <v>147</v>
      </c>
      <c r="B36" s="4" t="s">
        <v>119</v>
      </c>
      <c r="C36" s="4" t="s">
        <v>129</v>
      </c>
      <c r="D36" s="4" t="s">
        <v>15</v>
      </c>
      <c r="E36" s="4" t="s">
        <v>16</v>
      </c>
      <c r="F36" s="4" t="s">
        <v>148</v>
      </c>
      <c r="G36" s="4" t="s">
        <v>149</v>
      </c>
      <c r="H36" s="4" t="s">
        <v>19</v>
      </c>
      <c r="I36" s="4" t="s">
        <v>150</v>
      </c>
      <c r="J36" s="4" t="s">
        <v>21</v>
      </c>
    </row>
    <row r="37" customFormat="false" ht="22.35" hidden="false" customHeight="false" outlineLevel="0" collapsed="false">
      <c r="A37" s="4" t="s">
        <v>151</v>
      </c>
      <c r="B37" s="4" t="s">
        <v>119</v>
      </c>
      <c r="C37" s="4" t="s">
        <v>129</v>
      </c>
      <c r="D37" s="4" t="s">
        <v>15</v>
      </c>
      <c r="E37" s="4" t="s">
        <v>16</v>
      </c>
      <c r="F37" s="4" t="s">
        <v>152</v>
      </c>
      <c r="G37" s="4" t="s">
        <v>153</v>
      </c>
      <c r="H37" s="4" t="s">
        <v>19</v>
      </c>
      <c r="I37" s="4" t="s">
        <v>154</v>
      </c>
      <c r="J37" s="4" t="s">
        <v>21</v>
      </c>
    </row>
    <row r="38" customFormat="false" ht="22.35" hidden="false" customHeight="false" outlineLevel="0" collapsed="false">
      <c r="A38" s="4" t="s">
        <v>155</v>
      </c>
      <c r="B38" s="4" t="s">
        <v>119</v>
      </c>
      <c r="C38" s="4" t="s">
        <v>129</v>
      </c>
      <c r="D38" s="4" t="s">
        <v>15</v>
      </c>
      <c r="E38" s="4" t="s">
        <v>16</v>
      </c>
      <c r="F38" s="4" t="s">
        <v>156</v>
      </c>
      <c r="G38" s="4" t="s">
        <v>157</v>
      </c>
      <c r="H38" s="4" t="s">
        <v>19</v>
      </c>
      <c r="I38" s="4" t="s">
        <v>158</v>
      </c>
      <c r="J38" s="4" t="s">
        <v>21</v>
      </c>
    </row>
    <row r="39" customFormat="false" ht="22.35" hidden="false" customHeight="false" outlineLevel="0" collapsed="false">
      <c r="A39" s="4" t="s">
        <v>159</v>
      </c>
      <c r="B39" s="4" t="s">
        <v>119</v>
      </c>
      <c r="C39" s="4" t="s">
        <v>129</v>
      </c>
      <c r="D39" s="4" t="s">
        <v>15</v>
      </c>
      <c r="E39" s="4" t="s">
        <v>16</v>
      </c>
      <c r="F39" s="4" t="s">
        <v>160</v>
      </c>
      <c r="G39" s="4" t="s">
        <v>161</v>
      </c>
      <c r="H39" s="4" t="s">
        <v>19</v>
      </c>
      <c r="I39" s="4" t="s">
        <v>162</v>
      </c>
      <c r="J39" s="4" t="s">
        <v>21</v>
      </c>
    </row>
    <row r="40" customFormat="false" ht="22.35" hidden="false" customHeight="false" outlineLevel="0" collapsed="false">
      <c r="A40" s="4" t="s">
        <v>163</v>
      </c>
      <c r="B40" s="4" t="s">
        <v>119</v>
      </c>
      <c r="C40" s="4" t="s">
        <v>129</v>
      </c>
      <c r="D40" s="4" t="s">
        <v>15</v>
      </c>
      <c r="E40" s="4" t="s">
        <v>16</v>
      </c>
      <c r="F40" s="4" t="s">
        <v>164</v>
      </c>
      <c r="G40" s="4" t="s">
        <v>165</v>
      </c>
      <c r="H40" s="4" t="s">
        <v>19</v>
      </c>
      <c r="I40" s="4" t="s">
        <v>166</v>
      </c>
      <c r="J40" s="4" t="s">
        <v>21</v>
      </c>
    </row>
    <row r="41" customFormat="false" ht="32.8" hidden="false" customHeight="false" outlineLevel="0" collapsed="false">
      <c r="A41" s="4" t="s">
        <v>167</v>
      </c>
      <c r="B41" s="4" t="s">
        <v>119</v>
      </c>
      <c r="C41" s="4" t="s">
        <v>168</v>
      </c>
      <c r="D41" s="4" t="s">
        <v>15</v>
      </c>
      <c r="E41" s="4" t="s">
        <v>16</v>
      </c>
      <c r="F41" s="4" t="s">
        <v>169</v>
      </c>
      <c r="G41" s="4" t="s">
        <v>170</v>
      </c>
      <c r="H41" s="4" t="s">
        <v>19</v>
      </c>
      <c r="I41" s="4" t="s">
        <v>171</v>
      </c>
      <c r="J41" s="4" t="s">
        <v>172</v>
      </c>
    </row>
    <row r="42" customFormat="false" ht="32.8" hidden="false" customHeight="false" outlineLevel="0" collapsed="false">
      <c r="A42" s="4" t="s">
        <v>173</v>
      </c>
      <c r="B42" s="4" t="s">
        <v>119</v>
      </c>
      <c r="C42" s="4" t="s">
        <v>168</v>
      </c>
      <c r="D42" s="4" t="s">
        <v>15</v>
      </c>
      <c r="E42" s="4" t="s">
        <v>16</v>
      </c>
      <c r="F42" s="4" t="s">
        <v>174</v>
      </c>
      <c r="G42" s="4" t="s">
        <v>175</v>
      </c>
      <c r="H42" s="4" t="s">
        <v>19</v>
      </c>
      <c r="I42" s="4" t="s">
        <v>176</v>
      </c>
      <c r="J42" s="4" t="s">
        <v>172</v>
      </c>
    </row>
    <row r="43" customFormat="false" ht="32.8" hidden="false" customHeight="false" outlineLevel="0" collapsed="false">
      <c r="A43" s="4" t="s">
        <v>177</v>
      </c>
      <c r="B43" s="4" t="s">
        <v>119</v>
      </c>
      <c r="C43" s="4" t="s">
        <v>168</v>
      </c>
      <c r="D43" s="4" t="s">
        <v>15</v>
      </c>
      <c r="E43" s="4" t="s">
        <v>16</v>
      </c>
      <c r="F43" s="4" t="s">
        <v>178</v>
      </c>
      <c r="G43" s="4" t="s">
        <v>179</v>
      </c>
      <c r="H43" s="4" t="s">
        <v>19</v>
      </c>
      <c r="I43" s="4" t="s">
        <v>180</v>
      </c>
      <c r="J43" s="4" t="s">
        <v>181</v>
      </c>
    </row>
    <row r="44" customFormat="false" ht="22.35" hidden="false" customHeight="false" outlineLevel="0" collapsed="false">
      <c r="A44" s="4" t="s">
        <v>182</v>
      </c>
      <c r="B44" s="4" t="s">
        <v>183</v>
      </c>
      <c r="C44" s="4" t="s">
        <v>184</v>
      </c>
      <c r="D44" s="4" t="s">
        <v>15</v>
      </c>
      <c r="E44" s="4" t="s">
        <v>16</v>
      </c>
      <c r="F44" s="4" t="s">
        <v>185</v>
      </c>
      <c r="G44" s="4" t="s">
        <v>186</v>
      </c>
      <c r="H44" s="4" t="s">
        <v>19</v>
      </c>
      <c r="I44" s="4" t="s">
        <v>187</v>
      </c>
      <c r="J44" s="4" t="s">
        <v>138</v>
      </c>
    </row>
    <row r="45" customFormat="false" ht="22.35" hidden="false" customHeight="false" outlineLevel="0" collapsed="false">
      <c r="A45" s="4" t="s">
        <v>188</v>
      </c>
      <c r="B45" s="4" t="s">
        <v>183</v>
      </c>
      <c r="C45" s="4" t="s">
        <v>189</v>
      </c>
      <c r="D45" s="4" t="s">
        <v>15</v>
      </c>
      <c r="E45" s="4" t="s">
        <v>16</v>
      </c>
      <c r="F45" s="4" t="s">
        <v>190</v>
      </c>
      <c r="G45" s="4" t="s">
        <v>191</v>
      </c>
      <c r="H45" s="4" t="s">
        <v>33</v>
      </c>
      <c r="I45" s="4" t="s">
        <v>192</v>
      </c>
      <c r="J45" s="4" t="s">
        <v>138</v>
      </c>
    </row>
    <row r="46" customFormat="false" ht="32.8" hidden="false" customHeight="false" outlineLevel="0" collapsed="false">
      <c r="A46" s="4" t="s">
        <v>193</v>
      </c>
      <c r="B46" s="4" t="s">
        <v>194</v>
      </c>
      <c r="C46" s="4" t="s">
        <v>195</v>
      </c>
      <c r="D46" s="4" t="s">
        <v>15</v>
      </c>
      <c r="E46" s="4" t="s">
        <v>16</v>
      </c>
      <c r="F46" s="4" t="s">
        <v>196</v>
      </c>
      <c r="G46" s="4" t="s">
        <v>197</v>
      </c>
      <c r="H46" s="4" t="s">
        <v>19</v>
      </c>
      <c r="I46" s="4" t="s">
        <v>198</v>
      </c>
      <c r="J46" s="4" t="s">
        <v>21</v>
      </c>
    </row>
    <row r="47" customFormat="false" ht="32.8" hidden="false" customHeight="false" outlineLevel="0" collapsed="false">
      <c r="A47" s="4" t="s">
        <v>199</v>
      </c>
      <c r="B47" s="4" t="s">
        <v>23</v>
      </c>
      <c r="C47" s="4" t="s">
        <v>200</v>
      </c>
      <c r="D47" s="4" t="s">
        <v>15</v>
      </c>
      <c r="E47" s="4" t="s">
        <v>16</v>
      </c>
      <c r="F47" s="4" t="s">
        <v>201</v>
      </c>
      <c r="G47" s="4" t="s">
        <v>202</v>
      </c>
      <c r="H47" s="4" t="s">
        <v>33</v>
      </c>
      <c r="I47" s="4" t="s">
        <v>203</v>
      </c>
      <c r="J47" s="4" t="s">
        <v>21</v>
      </c>
    </row>
    <row r="48" customFormat="false" ht="15" hidden="false" customHeight="false" outlineLevel="0" collapsed="false">
      <c r="A48" s="4" t="s">
        <v>204</v>
      </c>
      <c r="B48" s="4" t="s">
        <v>205</v>
      </c>
      <c r="C48" s="4" t="s">
        <v>206</v>
      </c>
      <c r="D48" s="4" t="s">
        <v>15</v>
      </c>
      <c r="E48" s="4" t="s">
        <v>207</v>
      </c>
      <c r="F48" s="4" t="s">
        <v>208</v>
      </c>
      <c r="G48" s="4" t="s">
        <v>209</v>
      </c>
      <c r="H48" s="4" t="s">
        <v>19</v>
      </c>
      <c r="I48" s="4" t="s">
        <v>210</v>
      </c>
      <c r="J48" s="4" t="s">
        <v>21</v>
      </c>
    </row>
    <row r="49" customFormat="false" ht="15" hidden="false" customHeight="false" outlineLevel="0" collapsed="false">
      <c r="A49" s="4" t="s">
        <v>211</v>
      </c>
      <c r="B49" s="4" t="s">
        <v>205</v>
      </c>
      <c r="C49" s="4" t="s">
        <v>206</v>
      </c>
      <c r="D49" s="4" t="s">
        <v>15</v>
      </c>
      <c r="E49" s="4" t="s">
        <v>207</v>
      </c>
      <c r="F49" s="4" t="s">
        <v>212</v>
      </c>
      <c r="G49" s="4" t="s">
        <v>213</v>
      </c>
      <c r="H49" s="4" t="s">
        <v>19</v>
      </c>
      <c r="I49" s="4" t="s">
        <v>214</v>
      </c>
      <c r="J49" s="4" t="s">
        <v>21</v>
      </c>
    </row>
    <row r="50" customFormat="false" ht="15" hidden="false" customHeight="false" outlineLevel="0" collapsed="false">
      <c r="A50" s="4" t="s">
        <v>215</v>
      </c>
      <c r="B50" s="4" t="s">
        <v>205</v>
      </c>
      <c r="C50" s="4" t="s">
        <v>206</v>
      </c>
      <c r="D50" s="4" t="s">
        <v>15</v>
      </c>
      <c r="E50" s="4" t="s">
        <v>216</v>
      </c>
      <c r="F50" s="4" t="s">
        <v>217</v>
      </c>
      <c r="G50" s="4" t="s">
        <v>218</v>
      </c>
      <c r="H50" s="4" t="s">
        <v>19</v>
      </c>
      <c r="I50" s="4" t="s">
        <v>219</v>
      </c>
      <c r="J50" s="4" t="s">
        <v>220</v>
      </c>
    </row>
    <row r="51" customFormat="false" ht="15" hidden="false" customHeight="false" outlineLevel="0" collapsed="false">
      <c r="A51" s="4" t="s">
        <v>221</v>
      </c>
      <c r="B51" s="4" t="s">
        <v>205</v>
      </c>
      <c r="C51" s="4" t="s">
        <v>206</v>
      </c>
      <c r="D51" s="4" t="s">
        <v>15</v>
      </c>
      <c r="E51" s="4" t="s">
        <v>216</v>
      </c>
      <c r="F51" s="4" t="s">
        <v>222</v>
      </c>
      <c r="G51" s="4" t="s">
        <v>223</v>
      </c>
      <c r="H51" s="4" t="s">
        <v>19</v>
      </c>
      <c r="I51" s="4" t="s">
        <v>224</v>
      </c>
      <c r="J51" s="4" t="s">
        <v>21</v>
      </c>
    </row>
    <row r="52" customFormat="false" ht="22.35" hidden="false" customHeight="false" outlineLevel="0" collapsed="false">
      <c r="A52" s="4" t="s">
        <v>225</v>
      </c>
      <c r="B52" s="4" t="s">
        <v>205</v>
      </c>
      <c r="C52" s="4" t="s">
        <v>206</v>
      </c>
      <c r="D52" s="4" t="s">
        <v>15</v>
      </c>
      <c r="E52" s="4" t="s">
        <v>226</v>
      </c>
      <c r="F52" s="4" t="s">
        <v>227</v>
      </c>
      <c r="G52" s="4" t="s">
        <v>228</v>
      </c>
      <c r="H52" s="4" t="s">
        <v>19</v>
      </c>
      <c r="I52" s="4" t="s">
        <v>229</v>
      </c>
      <c r="J52" s="4" t="s">
        <v>230</v>
      </c>
    </row>
    <row r="53" customFormat="false" ht="32.8" hidden="false" customHeight="false" outlineLevel="0" collapsed="false">
      <c r="A53" s="4" t="s">
        <v>231</v>
      </c>
      <c r="B53" s="4" t="s">
        <v>205</v>
      </c>
      <c r="C53" s="4" t="s">
        <v>232</v>
      </c>
      <c r="D53" s="4" t="s">
        <v>15</v>
      </c>
      <c r="E53" s="4" t="s">
        <v>207</v>
      </c>
      <c r="F53" s="4" t="s">
        <v>233</v>
      </c>
      <c r="G53" s="4" t="s">
        <v>234</v>
      </c>
      <c r="H53" s="4" t="s">
        <v>33</v>
      </c>
      <c r="I53" s="4" t="s">
        <v>235</v>
      </c>
      <c r="J53" s="4" t="s">
        <v>21</v>
      </c>
    </row>
    <row r="54" customFormat="false" ht="32.8" hidden="false" customHeight="false" outlineLevel="0" collapsed="false">
      <c r="A54" s="4" t="s">
        <v>236</v>
      </c>
      <c r="B54" s="4" t="s">
        <v>205</v>
      </c>
      <c r="C54" s="4" t="s">
        <v>232</v>
      </c>
      <c r="D54" s="4" t="s">
        <v>15</v>
      </c>
      <c r="E54" s="4" t="s">
        <v>207</v>
      </c>
      <c r="F54" s="4" t="s">
        <v>237</v>
      </c>
      <c r="G54" s="4" t="s">
        <v>234</v>
      </c>
      <c r="H54" s="4" t="s">
        <v>33</v>
      </c>
      <c r="I54" s="4" t="s">
        <v>238</v>
      </c>
      <c r="J54" s="4" t="s">
        <v>21</v>
      </c>
    </row>
    <row r="55" customFormat="false" ht="32.8" hidden="false" customHeight="false" outlineLevel="0" collapsed="false">
      <c r="A55" s="4" t="s">
        <v>239</v>
      </c>
      <c r="B55" s="4" t="s">
        <v>205</v>
      </c>
      <c r="C55" s="4" t="s">
        <v>232</v>
      </c>
      <c r="D55" s="4" t="s">
        <v>15</v>
      </c>
      <c r="E55" s="4" t="s">
        <v>216</v>
      </c>
      <c r="F55" s="4" t="s">
        <v>240</v>
      </c>
      <c r="G55" s="4" t="s">
        <v>241</v>
      </c>
      <c r="H55" s="4" t="s">
        <v>33</v>
      </c>
      <c r="I55" s="4" t="s">
        <v>242</v>
      </c>
      <c r="J55" s="4" t="s">
        <v>21</v>
      </c>
    </row>
    <row r="56" customFormat="false" ht="32.8" hidden="false" customHeight="false" outlineLevel="0" collapsed="false">
      <c r="A56" s="4" t="s">
        <v>243</v>
      </c>
      <c r="B56" s="4" t="s">
        <v>205</v>
      </c>
      <c r="C56" s="4" t="s">
        <v>232</v>
      </c>
      <c r="D56" s="4" t="s">
        <v>15</v>
      </c>
      <c r="E56" s="4" t="s">
        <v>216</v>
      </c>
      <c r="F56" s="4" t="s">
        <v>244</v>
      </c>
      <c r="G56" s="4" t="s">
        <v>241</v>
      </c>
      <c r="H56" s="4" t="s">
        <v>33</v>
      </c>
      <c r="I56" s="4" t="s">
        <v>245</v>
      </c>
      <c r="J56" s="4" t="s">
        <v>21</v>
      </c>
    </row>
    <row r="57" customFormat="false" ht="32.8" hidden="false" customHeight="false" outlineLevel="0" collapsed="false">
      <c r="A57" s="4" t="s">
        <v>246</v>
      </c>
      <c r="B57" s="4" t="s">
        <v>205</v>
      </c>
      <c r="C57" s="4" t="s">
        <v>232</v>
      </c>
      <c r="D57" s="4" t="s">
        <v>15</v>
      </c>
      <c r="E57" s="4" t="s">
        <v>247</v>
      </c>
      <c r="F57" s="4" t="s">
        <v>248</v>
      </c>
      <c r="G57" s="4" t="s">
        <v>249</v>
      </c>
      <c r="H57" s="4" t="s">
        <v>19</v>
      </c>
      <c r="I57" s="4" t="s">
        <v>250</v>
      </c>
      <c r="J57" s="4" t="s">
        <v>21</v>
      </c>
    </row>
    <row r="58" customFormat="false" ht="32.8" hidden="false" customHeight="false" outlineLevel="0" collapsed="false">
      <c r="A58" s="4" t="s">
        <v>251</v>
      </c>
      <c r="B58" s="4" t="s">
        <v>205</v>
      </c>
      <c r="C58" s="4" t="s">
        <v>232</v>
      </c>
      <c r="D58" s="4" t="s">
        <v>15</v>
      </c>
      <c r="E58" s="4" t="s">
        <v>247</v>
      </c>
      <c r="F58" s="4" t="s">
        <v>252</v>
      </c>
      <c r="G58" s="4" t="s">
        <v>249</v>
      </c>
      <c r="H58" s="4" t="s">
        <v>19</v>
      </c>
      <c r="I58" s="4" t="s">
        <v>253</v>
      </c>
      <c r="J58" s="4" t="s">
        <v>254</v>
      </c>
    </row>
    <row r="59" customFormat="false" ht="32.8" hidden="false" customHeight="false" outlineLevel="0" collapsed="false">
      <c r="A59" s="4" t="s">
        <v>255</v>
      </c>
      <c r="B59" s="4" t="s">
        <v>205</v>
      </c>
      <c r="C59" s="4" t="s">
        <v>232</v>
      </c>
      <c r="D59" s="4" t="s">
        <v>15</v>
      </c>
      <c r="E59" s="4" t="s">
        <v>247</v>
      </c>
      <c r="F59" s="4" t="s">
        <v>256</v>
      </c>
      <c r="G59" s="4" t="s">
        <v>249</v>
      </c>
      <c r="H59" s="4" t="s">
        <v>19</v>
      </c>
      <c r="I59" s="4" t="s">
        <v>257</v>
      </c>
      <c r="J59" s="4" t="s">
        <v>21</v>
      </c>
    </row>
    <row r="60" customFormat="false" ht="32.8" hidden="false" customHeight="false" outlineLevel="0" collapsed="false">
      <c r="A60" s="4" t="s">
        <v>258</v>
      </c>
      <c r="B60" s="4" t="s">
        <v>205</v>
      </c>
      <c r="C60" s="4" t="s">
        <v>232</v>
      </c>
      <c r="D60" s="4" t="s">
        <v>15</v>
      </c>
      <c r="E60" s="4" t="s">
        <v>247</v>
      </c>
      <c r="F60" s="4" t="s">
        <v>259</v>
      </c>
      <c r="G60" s="4" t="s">
        <v>249</v>
      </c>
      <c r="H60" s="4" t="s">
        <v>19</v>
      </c>
      <c r="I60" s="4" t="s">
        <v>260</v>
      </c>
      <c r="J60" s="4" t="s">
        <v>21</v>
      </c>
    </row>
    <row r="61" customFormat="false" ht="32.8" hidden="false" customHeight="false" outlineLevel="0" collapsed="false">
      <c r="A61" s="4" t="s">
        <v>261</v>
      </c>
      <c r="B61" s="4" t="s">
        <v>205</v>
      </c>
      <c r="C61" s="4" t="s">
        <v>232</v>
      </c>
      <c r="D61" s="4" t="s">
        <v>15</v>
      </c>
      <c r="E61" s="4" t="s">
        <v>226</v>
      </c>
      <c r="F61" s="4" t="s">
        <v>262</v>
      </c>
      <c r="G61" s="4" t="s">
        <v>263</v>
      </c>
      <c r="H61" s="4" t="s">
        <v>33</v>
      </c>
      <c r="I61" s="4" t="s">
        <v>264</v>
      </c>
      <c r="J61" s="4" t="s">
        <v>230</v>
      </c>
    </row>
    <row r="62" customFormat="false" ht="32.8" hidden="false" customHeight="false" outlineLevel="0" collapsed="false">
      <c r="A62" s="4" t="s">
        <v>265</v>
      </c>
      <c r="B62" s="4" t="s">
        <v>205</v>
      </c>
      <c r="C62" s="4" t="s">
        <v>232</v>
      </c>
      <c r="D62" s="4" t="s">
        <v>15</v>
      </c>
      <c r="E62" s="4" t="s">
        <v>226</v>
      </c>
      <c r="F62" s="4" t="s">
        <v>266</v>
      </c>
      <c r="G62" s="4" t="s">
        <v>263</v>
      </c>
      <c r="H62" s="4" t="s">
        <v>33</v>
      </c>
      <c r="I62" s="4" t="s">
        <v>267</v>
      </c>
      <c r="J62" s="4" t="s">
        <v>230</v>
      </c>
    </row>
    <row r="63" customFormat="false" ht="32.8" hidden="false" customHeight="false" outlineLevel="0" collapsed="false">
      <c r="A63" s="4" t="s">
        <v>268</v>
      </c>
      <c r="B63" s="4" t="s">
        <v>205</v>
      </c>
      <c r="C63" s="4" t="s">
        <v>232</v>
      </c>
      <c r="D63" s="4" t="s">
        <v>15</v>
      </c>
      <c r="E63" s="4" t="s">
        <v>226</v>
      </c>
      <c r="F63" s="4" t="s">
        <v>269</v>
      </c>
      <c r="G63" s="4" t="s">
        <v>263</v>
      </c>
      <c r="H63" s="4" t="s">
        <v>33</v>
      </c>
      <c r="I63" s="4" t="s">
        <v>270</v>
      </c>
      <c r="J63" s="4" t="s">
        <v>230</v>
      </c>
    </row>
    <row r="64" customFormat="false" ht="32.8" hidden="false" customHeight="false" outlineLevel="0" collapsed="false">
      <c r="A64" s="4" t="s">
        <v>271</v>
      </c>
      <c r="B64" s="4" t="s">
        <v>205</v>
      </c>
      <c r="C64" s="4" t="s">
        <v>232</v>
      </c>
      <c r="D64" s="4" t="s">
        <v>15</v>
      </c>
      <c r="E64" s="4" t="s">
        <v>272</v>
      </c>
      <c r="F64" s="4" t="s">
        <v>273</v>
      </c>
      <c r="G64" s="4" t="s">
        <v>274</v>
      </c>
      <c r="H64" s="4" t="s">
        <v>19</v>
      </c>
      <c r="I64" s="4" t="s">
        <v>275</v>
      </c>
      <c r="J64" s="4" t="s">
        <v>230</v>
      </c>
    </row>
    <row r="65" customFormat="false" ht="32.8" hidden="false" customHeight="false" outlineLevel="0" collapsed="false">
      <c r="A65" s="4" t="s">
        <v>276</v>
      </c>
      <c r="B65" s="4" t="s">
        <v>205</v>
      </c>
      <c r="C65" s="4" t="s">
        <v>232</v>
      </c>
      <c r="D65" s="4" t="s">
        <v>15</v>
      </c>
      <c r="E65" s="4" t="s">
        <v>272</v>
      </c>
      <c r="F65" s="4" t="s">
        <v>277</v>
      </c>
      <c r="G65" s="4" t="s">
        <v>274</v>
      </c>
      <c r="H65" s="4" t="s">
        <v>19</v>
      </c>
      <c r="I65" s="4" t="s">
        <v>278</v>
      </c>
      <c r="J65" s="4" t="s">
        <v>230</v>
      </c>
    </row>
    <row r="66" customFormat="false" ht="32.8" hidden="false" customHeight="false" outlineLevel="0" collapsed="false">
      <c r="A66" s="4" t="s">
        <v>279</v>
      </c>
      <c r="B66" s="4" t="s">
        <v>205</v>
      </c>
      <c r="C66" s="4" t="s">
        <v>232</v>
      </c>
      <c r="D66" s="4" t="s">
        <v>15</v>
      </c>
      <c r="E66" s="4" t="s">
        <v>272</v>
      </c>
      <c r="F66" s="4" t="s">
        <v>280</v>
      </c>
      <c r="G66" s="4" t="s">
        <v>274</v>
      </c>
      <c r="H66" s="4" t="s">
        <v>19</v>
      </c>
      <c r="I66" s="4" t="s">
        <v>281</v>
      </c>
      <c r="J66" s="4" t="s">
        <v>230</v>
      </c>
    </row>
    <row r="67" customFormat="false" ht="32.8" hidden="false" customHeight="false" outlineLevel="0" collapsed="false">
      <c r="A67" s="4" t="s">
        <v>282</v>
      </c>
      <c r="B67" s="4" t="s">
        <v>205</v>
      </c>
      <c r="C67" s="4" t="s">
        <v>232</v>
      </c>
      <c r="D67" s="4" t="s">
        <v>15</v>
      </c>
      <c r="E67" s="4" t="s">
        <v>272</v>
      </c>
      <c r="F67" s="4" t="s">
        <v>283</v>
      </c>
      <c r="G67" s="4" t="s">
        <v>274</v>
      </c>
      <c r="H67" s="4" t="s">
        <v>19</v>
      </c>
      <c r="I67" s="4" t="s">
        <v>284</v>
      </c>
      <c r="J67" s="4" t="s">
        <v>230</v>
      </c>
    </row>
    <row r="68" customFormat="false" ht="32.8" hidden="false" customHeight="false" outlineLevel="0" collapsed="false">
      <c r="A68" s="4" t="s">
        <v>285</v>
      </c>
      <c r="B68" s="4" t="s">
        <v>205</v>
      </c>
      <c r="C68" s="4" t="s">
        <v>232</v>
      </c>
      <c r="D68" s="4" t="s">
        <v>15</v>
      </c>
      <c r="E68" s="4" t="s">
        <v>286</v>
      </c>
      <c r="F68" s="4" t="s">
        <v>287</v>
      </c>
      <c r="G68" s="4" t="s">
        <v>288</v>
      </c>
      <c r="H68" s="4" t="s">
        <v>19</v>
      </c>
      <c r="I68" s="4" t="s">
        <v>289</v>
      </c>
      <c r="J68" s="4" t="s">
        <v>21</v>
      </c>
    </row>
    <row r="69" customFormat="false" ht="32.8" hidden="false" customHeight="false" outlineLevel="0" collapsed="false">
      <c r="A69" s="4" t="s">
        <v>290</v>
      </c>
      <c r="B69" s="4" t="s">
        <v>205</v>
      </c>
      <c r="C69" s="4" t="s">
        <v>232</v>
      </c>
      <c r="D69" s="4" t="s">
        <v>15</v>
      </c>
      <c r="E69" s="4" t="s">
        <v>286</v>
      </c>
      <c r="F69" s="4" t="s">
        <v>291</v>
      </c>
      <c r="G69" s="4" t="s">
        <v>288</v>
      </c>
      <c r="H69" s="4" t="s">
        <v>19</v>
      </c>
      <c r="I69" s="4" t="s">
        <v>292</v>
      </c>
      <c r="J69" s="4" t="s">
        <v>21</v>
      </c>
    </row>
    <row r="70" customFormat="false" ht="32.8" hidden="false" customHeight="false" outlineLevel="0" collapsed="false">
      <c r="A70" s="4" t="s">
        <v>293</v>
      </c>
      <c r="B70" s="4" t="s">
        <v>205</v>
      </c>
      <c r="C70" s="4" t="s">
        <v>232</v>
      </c>
      <c r="D70" s="4" t="s">
        <v>15</v>
      </c>
      <c r="E70" s="4" t="s">
        <v>286</v>
      </c>
      <c r="F70" s="4" t="s">
        <v>294</v>
      </c>
      <c r="G70" s="4" t="s">
        <v>288</v>
      </c>
      <c r="H70" s="4" t="s">
        <v>19</v>
      </c>
      <c r="I70" s="4" t="s">
        <v>295</v>
      </c>
      <c r="J70" s="4" t="s">
        <v>21</v>
      </c>
    </row>
    <row r="71" customFormat="false" ht="32.8" hidden="false" customHeight="false" outlineLevel="0" collapsed="false">
      <c r="A71" s="4" t="s">
        <v>296</v>
      </c>
      <c r="B71" s="4" t="s">
        <v>205</v>
      </c>
      <c r="C71" s="4" t="s">
        <v>232</v>
      </c>
      <c r="D71" s="4" t="s">
        <v>15</v>
      </c>
      <c r="E71" s="4" t="s">
        <v>286</v>
      </c>
      <c r="F71" s="4" t="s">
        <v>297</v>
      </c>
      <c r="G71" s="4" t="s">
        <v>288</v>
      </c>
      <c r="H71" s="4" t="s">
        <v>19</v>
      </c>
      <c r="I71" s="4" t="s">
        <v>298</v>
      </c>
      <c r="J71" s="4" t="s">
        <v>21</v>
      </c>
    </row>
    <row r="72" customFormat="false" ht="32.8" hidden="false" customHeight="false" outlineLevel="0" collapsed="false">
      <c r="A72" s="4" t="s">
        <v>299</v>
      </c>
      <c r="B72" s="4" t="s">
        <v>205</v>
      </c>
      <c r="C72" s="4" t="s">
        <v>300</v>
      </c>
      <c r="D72" s="4" t="s">
        <v>15</v>
      </c>
      <c r="E72" s="4" t="s">
        <v>16</v>
      </c>
      <c r="F72" s="4" t="s">
        <v>301</v>
      </c>
      <c r="G72" s="4" t="s">
        <v>302</v>
      </c>
      <c r="H72" s="4" t="s">
        <v>19</v>
      </c>
      <c r="I72" s="4" t="s">
        <v>303</v>
      </c>
      <c r="J72" s="4" t="s">
        <v>254</v>
      </c>
    </row>
    <row r="73" customFormat="false" ht="32.8" hidden="false" customHeight="false" outlineLevel="0" collapsed="false">
      <c r="A73" s="4" t="s">
        <v>304</v>
      </c>
      <c r="B73" s="4" t="s">
        <v>205</v>
      </c>
      <c r="C73" s="4" t="s">
        <v>305</v>
      </c>
      <c r="D73" s="4" t="s">
        <v>15</v>
      </c>
      <c r="E73" s="4" t="s">
        <v>16</v>
      </c>
      <c r="F73" s="4" t="s">
        <v>306</v>
      </c>
      <c r="G73" s="4" t="s">
        <v>307</v>
      </c>
      <c r="H73" s="4" t="s">
        <v>19</v>
      </c>
      <c r="I73" s="4" t="s">
        <v>308</v>
      </c>
      <c r="J73" s="4" t="s">
        <v>220</v>
      </c>
    </row>
    <row r="74" customFormat="false" ht="32.8" hidden="false" customHeight="false" outlineLevel="0" collapsed="false">
      <c r="A74" s="4" t="s">
        <v>309</v>
      </c>
      <c r="B74" s="4" t="s">
        <v>205</v>
      </c>
      <c r="C74" s="4" t="s">
        <v>310</v>
      </c>
      <c r="D74" s="4" t="s">
        <v>15</v>
      </c>
      <c r="E74" s="4" t="s">
        <v>16</v>
      </c>
      <c r="F74" s="4" t="s">
        <v>311</v>
      </c>
      <c r="G74" s="4" t="s">
        <v>312</v>
      </c>
      <c r="H74" s="4" t="s">
        <v>33</v>
      </c>
      <c r="I74" s="4" t="s">
        <v>313</v>
      </c>
      <c r="J74" s="4" t="s">
        <v>21</v>
      </c>
    </row>
    <row r="75" customFormat="false" ht="22.35" hidden="false" customHeight="false" outlineLevel="0" collapsed="false">
      <c r="A75" s="4" t="s">
        <v>314</v>
      </c>
      <c r="B75" s="4" t="s">
        <v>315</v>
      </c>
      <c r="C75" s="4" t="s">
        <v>316</v>
      </c>
      <c r="D75" s="4" t="s">
        <v>317</v>
      </c>
      <c r="E75" s="4" t="s">
        <v>16</v>
      </c>
      <c r="F75" s="4" t="s">
        <v>318</v>
      </c>
      <c r="G75" s="4" t="s">
        <v>319</v>
      </c>
      <c r="H75" s="4" t="s">
        <v>85</v>
      </c>
      <c r="I75" s="4" t="s">
        <v>320</v>
      </c>
      <c r="J75" s="4" t="s">
        <v>21</v>
      </c>
    </row>
    <row r="76" customFormat="false" ht="32.8" hidden="false" customHeight="false" outlineLevel="0" collapsed="false">
      <c r="A76" s="4" t="s">
        <v>321</v>
      </c>
      <c r="B76" s="4" t="s">
        <v>315</v>
      </c>
      <c r="C76" s="4" t="s">
        <v>322</v>
      </c>
      <c r="D76" s="4" t="s">
        <v>317</v>
      </c>
      <c r="E76" s="4" t="s">
        <v>16</v>
      </c>
      <c r="F76" s="4" t="s">
        <v>323</v>
      </c>
      <c r="G76" s="4" t="s">
        <v>324</v>
      </c>
      <c r="H76" s="4" t="s">
        <v>85</v>
      </c>
      <c r="I76" s="4" t="s">
        <v>325</v>
      </c>
      <c r="J76" s="4" t="s">
        <v>21</v>
      </c>
    </row>
  </sheetData>
  <autoFilter ref="A4:J76"/>
  <conditionalFormatting sqref="J5:J76">
    <cfRule type="expression" priority="2" aboveAverage="0" equalAverage="0" bottom="0" percent="0" rank="0" text="" dxfId="6">
      <formula>LEFT($J5,4)="Fail"</formula>
    </cfRule>
    <cfRule type="expression" priority="3" aboveAverage="0" equalAverage="0" bottom="0" percent="0" rank="0" text="" dxfId="7">
      <formula>LEFT($J5,7)="Blocked"</formula>
    </cfRule>
    <cfRule type="expression" priority="4" aboveAverage="0" equalAverage="0" bottom="0" percent="0" rank="0" text="" dxfId="8">
      <formula>$J5="Pass"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0"/>
  </cols>
  <sheetData>
    <row r="1" customFormat="false" ht="16.15" hidden="false" customHeight="false" outlineLevel="0" collapsed="false">
      <c r="A1" s="5" t="s">
        <v>326</v>
      </c>
    </row>
    <row r="3" customFormat="false" ht="15" hidden="false" customHeight="false" outlineLevel="0" collapsed="false">
      <c r="A3" s="3" t="s">
        <v>327</v>
      </c>
      <c r="B3" s="3" t="s">
        <v>328</v>
      </c>
      <c r="C3" s="3" t="s">
        <v>329</v>
      </c>
    </row>
    <row r="4" customFormat="false" ht="15" hidden="false" customHeight="false" outlineLevel="0" collapsed="false">
      <c r="A4" s="6" t="s">
        <v>330</v>
      </c>
      <c r="B4" s="6" t="n">
        <f aca="false">COUNTA(TestCases!A5:A76)</f>
        <v>72</v>
      </c>
      <c r="C4" s="7" t="n">
        <f aca="false">B4/$B$4</f>
        <v>1</v>
      </c>
    </row>
    <row r="5" customFormat="false" ht="15" hidden="false" customHeight="false" outlineLevel="0" collapsed="false">
      <c r="A5" s="6" t="s">
        <v>331</v>
      </c>
      <c r="B5" s="6" t="n">
        <f aca="false">B6+B7</f>
        <v>64</v>
      </c>
      <c r="C5" s="7" t="n">
        <f aca="false">B5/$B$4</f>
        <v>0.888888888888889</v>
      </c>
    </row>
    <row r="6" customFormat="false" ht="15" hidden="false" customHeight="false" outlineLevel="0" collapsed="false">
      <c r="A6" s="6" t="s">
        <v>332</v>
      </c>
      <c r="B6" s="6" t="n">
        <f aca="false">COUNTIF(TestCases!J5:J76,"Pass")</f>
        <v>48</v>
      </c>
      <c r="C6" s="7" t="n">
        <f aca="false">B6/$B$4</f>
        <v>0.666666666666667</v>
      </c>
    </row>
    <row r="7" customFormat="false" ht="15" hidden="false" customHeight="false" outlineLevel="0" collapsed="false">
      <c r="A7" s="6" t="s">
        <v>333</v>
      </c>
      <c r="B7" s="6" t="n">
        <f aca="false">COUNTIF(TestCases!J5:J76,"Fail*")</f>
        <v>16</v>
      </c>
      <c r="C7" s="7" t="n">
        <f aca="false">B7/$B$4</f>
        <v>0.222222222222222</v>
      </c>
    </row>
    <row r="8" customFormat="false" ht="15" hidden="false" customHeight="false" outlineLevel="0" collapsed="false">
      <c r="A8" s="6" t="s">
        <v>334</v>
      </c>
      <c r="B8" s="6" t="n">
        <f aca="false">COUNTIF(TestCases!J5:J76,"Blocked*")</f>
        <v>8</v>
      </c>
      <c r="C8" s="7" t="n">
        <f aca="false">B8/$B$4</f>
        <v>0.111111111111111</v>
      </c>
    </row>
    <row r="10" customFormat="false" ht="15" hidden="false" customHeight="false" outlineLevel="0" collapsed="false">
      <c r="A10" s="0" t="s">
        <v>335</v>
      </c>
      <c r="B10" s="0" t="n">
        <v>8</v>
      </c>
    </row>
    <row r="11" customFormat="false" ht="15" hidden="false" customHeight="false" outlineLevel="0" collapsed="false">
      <c r="A11" s="8" t="s">
        <v>336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60"/>
    <col collapsed="false" customWidth="true" hidden="false" outlineLevel="0" max="4" min="4" style="0" width="7"/>
    <col collapsed="false" customWidth="true" hidden="false" outlineLevel="0" max="5" min="5" style="0" width="26"/>
    <col collapsed="false" customWidth="true" hidden="false" outlineLevel="0" max="6" min="6" style="0" width="45"/>
  </cols>
  <sheetData>
    <row r="1" customFormat="false" ht="16.15" hidden="false" customHeight="false" outlineLevel="0" collapsed="false">
      <c r="A1" s="5" t="s">
        <v>337</v>
      </c>
    </row>
    <row r="3" customFormat="false" ht="23.85" hidden="false" customHeight="false" outlineLevel="0" collapsed="false">
      <c r="A3" s="3" t="s">
        <v>338</v>
      </c>
      <c r="B3" s="3" t="s">
        <v>339</v>
      </c>
      <c r="C3" s="3" t="s">
        <v>340</v>
      </c>
      <c r="D3" s="3" t="s">
        <v>341</v>
      </c>
      <c r="E3" s="3" t="s">
        <v>342</v>
      </c>
      <c r="F3" s="3" t="s">
        <v>343</v>
      </c>
    </row>
    <row r="4" customFormat="false" ht="22.35" hidden="false" customHeight="false" outlineLevel="0" collapsed="false">
      <c r="A4" s="4" t="s">
        <v>23</v>
      </c>
      <c r="B4" s="4" t="s">
        <v>344</v>
      </c>
      <c r="C4" s="4" t="s">
        <v>345</v>
      </c>
      <c r="D4" s="4" t="n">
        <v>14</v>
      </c>
      <c r="E4" s="4" t="s">
        <v>346</v>
      </c>
      <c r="F4" s="4"/>
    </row>
    <row r="5" customFormat="false" ht="22.35" hidden="false" customHeight="false" outlineLevel="0" collapsed="false">
      <c r="A5" s="4" t="s">
        <v>54</v>
      </c>
      <c r="B5" s="4" t="s">
        <v>347</v>
      </c>
      <c r="C5" s="4" t="s">
        <v>348</v>
      </c>
      <c r="D5" s="4" t="n">
        <v>6</v>
      </c>
      <c r="E5" s="4" t="s">
        <v>349</v>
      </c>
      <c r="F5" s="4"/>
    </row>
    <row r="6" customFormat="false" ht="22.35" hidden="false" customHeight="false" outlineLevel="0" collapsed="false">
      <c r="A6" s="4" t="s">
        <v>350</v>
      </c>
      <c r="B6" s="4" t="s">
        <v>351</v>
      </c>
      <c r="C6" s="4" t="s">
        <v>352</v>
      </c>
      <c r="D6" s="4" t="n">
        <v>2</v>
      </c>
      <c r="E6" s="4" t="s">
        <v>349</v>
      </c>
      <c r="F6" s="4" t="s">
        <v>353</v>
      </c>
    </row>
    <row r="7" customFormat="false" ht="22.35" hidden="false" customHeight="false" outlineLevel="0" collapsed="false">
      <c r="A7" s="4" t="s">
        <v>114</v>
      </c>
      <c r="B7" s="4" t="s">
        <v>354</v>
      </c>
      <c r="C7" s="4" t="s">
        <v>355</v>
      </c>
      <c r="D7" s="4" t="n">
        <v>20</v>
      </c>
      <c r="E7" s="4" t="s">
        <v>356</v>
      </c>
      <c r="F7" s="4"/>
    </row>
    <row r="8" customFormat="false" ht="22.35" hidden="false" customHeight="false" outlineLevel="0" collapsed="false">
      <c r="A8" s="4" t="s">
        <v>183</v>
      </c>
      <c r="B8" s="4" t="s">
        <v>357</v>
      </c>
      <c r="C8" s="4" t="s">
        <v>358</v>
      </c>
      <c r="D8" s="4" t="n">
        <v>20</v>
      </c>
      <c r="E8" s="4" t="s">
        <v>356</v>
      </c>
      <c r="F8" s="4"/>
    </row>
    <row r="9" customFormat="false" ht="15" hidden="false" customHeight="false" outlineLevel="0" collapsed="false">
      <c r="A9" s="4" t="s">
        <v>71</v>
      </c>
      <c r="B9" s="4" t="s">
        <v>359</v>
      </c>
      <c r="C9" s="4" t="s">
        <v>360</v>
      </c>
      <c r="D9" s="4" t="n">
        <v>5</v>
      </c>
      <c r="E9" s="4" t="s">
        <v>361</v>
      </c>
      <c r="F9" s="4"/>
    </row>
    <row r="10" customFormat="false" ht="32.8" hidden="false" customHeight="false" outlineLevel="0" collapsed="false">
      <c r="A10" s="4" t="s">
        <v>205</v>
      </c>
      <c r="B10" s="4" t="s">
        <v>362</v>
      </c>
      <c r="C10" s="4" t="s">
        <v>363</v>
      </c>
      <c r="D10" s="4" t="n">
        <v>28</v>
      </c>
      <c r="E10" s="4" t="s">
        <v>364</v>
      </c>
      <c r="F10" s="4"/>
    </row>
    <row r="11" customFormat="false" ht="22.35" hidden="false" customHeight="false" outlineLevel="0" collapsed="false">
      <c r="A11" s="4" t="s">
        <v>365</v>
      </c>
      <c r="B11" s="4" t="s">
        <v>366</v>
      </c>
      <c r="C11" s="4" t="s">
        <v>367</v>
      </c>
      <c r="D11" s="4" t="n">
        <v>2</v>
      </c>
      <c r="E11" s="4" t="s">
        <v>349</v>
      </c>
      <c r="F11" s="4" t="s">
        <v>368</v>
      </c>
    </row>
    <row r="12" customFormat="false" ht="32.8" hidden="false" customHeight="false" outlineLevel="0" collapsed="false">
      <c r="A12" s="4" t="s">
        <v>369</v>
      </c>
      <c r="B12" s="4" t="s">
        <v>370</v>
      </c>
      <c r="C12" s="4" t="s">
        <v>349</v>
      </c>
      <c r="D12" s="4" t="n">
        <v>0</v>
      </c>
      <c r="E12" s="4" t="s">
        <v>349</v>
      </c>
      <c r="F12" s="4" t="s">
        <v>371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3" min="2" style="0" width="9"/>
  </cols>
  <sheetData>
    <row r="1" customFormat="false" ht="16.15" hidden="false" customHeight="false" outlineLevel="0" collapsed="false">
      <c r="A1" s="5" t="s">
        <v>372</v>
      </c>
    </row>
    <row r="3" customFormat="false" ht="15" hidden="false" customHeight="false" outlineLevel="0" collapsed="false">
      <c r="A3" s="3" t="s">
        <v>373</v>
      </c>
      <c r="B3" s="3" t="s">
        <v>374</v>
      </c>
      <c r="C3" s="3" t="s">
        <v>375</v>
      </c>
      <c r="D3" s="3" t="s">
        <v>376</v>
      </c>
      <c r="E3" s="3" t="s">
        <v>377</v>
      </c>
      <c r="F3" s="3" t="s">
        <v>378</v>
      </c>
      <c r="G3" s="3" t="s">
        <v>379</v>
      </c>
      <c r="H3" s="3" t="s">
        <v>380</v>
      </c>
      <c r="I3" s="3" t="s">
        <v>381</v>
      </c>
      <c r="J3" s="3" t="s">
        <v>382</v>
      </c>
      <c r="K3" s="3" t="s">
        <v>383</v>
      </c>
      <c r="L3" s="3" t="s">
        <v>384</v>
      </c>
      <c r="M3" s="3" t="s">
        <v>385</v>
      </c>
    </row>
    <row r="4" customFormat="false" ht="15" hidden="false" customHeight="false" outlineLevel="0" collapsed="false">
      <c r="A4" s="9" t="s">
        <v>386</v>
      </c>
      <c r="B4" s="10" t="s">
        <v>387</v>
      </c>
      <c r="C4" s="10" t="s">
        <v>387</v>
      </c>
      <c r="D4" s="10" t="s">
        <v>387</v>
      </c>
      <c r="E4" s="10" t="s">
        <v>387</v>
      </c>
      <c r="F4" s="10" t="s">
        <v>388</v>
      </c>
      <c r="G4" s="10" t="s">
        <v>388</v>
      </c>
      <c r="H4" s="10" t="s">
        <v>388</v>
      </c>
      <c r="I4" s="10" t="s">
        <v>388</v>
      </c>
      <c r="J4" s="10" t="s">
        <v>389</v>
      </c>
      <c r="K4" s="10" t="s">
        <v>389</v>
      </c>
      <c r="L4" s="10" t="s">
        <v>389</v>
      </c>
      <c r="M4" s="10" t="s">
        <v>389</v>
      </c>
    </row>
    <row r="5" customFormat="false" ht="15" hidden="false" customHeight="false" outlineLevel="0" collapsed="false">
      <c r="A5" s="9" t="s">
        <v>390</v>
      </c>
      <c r="B5" s="10" t="s">
        <v>391</v>
      </c>
      <c r="C5" s="10" t="s">
        <v>392</v>
      </c>
      <c r="D5" s="10" t="s">
        <v>391</v>
      </c>
      <c r="E5" s="10" t="s">
        <v>392</v>
      </c>
      <c r="F5" s="10" t="s">
        <v>391</v>
      </c>
      <c r="G5" s="10" t="s">
        <v>392</v>
      </c>
      <c r="H5" s="10" t="s">
        <v>391</v>
      </c>
      <c r="I5" s="10" t="s">
        <v>392</v>
      </c>
      <c r="J5" s="10" t="s">
        <v>391</v>
      </c>
      <c r="K5" s="10" t="s">
        <v>392</v>
      </c>
      <c r="L5" s="10" t="s">
        <v>391</v>
      </c>
      <c r="M5" s="10" t="s">
        <v>392</v>
      </c>
    </row>
    <row r="6" customFormat="false" ht="15" hidden="false" customHeight="false" outlineLevel="0" collapsed="false">
      <c r="A6" s="9" t="s">
        <v>393</v>
      </c>
      <c r="B6" s="10" t="s">
        <v>391</v>
      </c>
      <c r="C6" s="10" t="s">
        <v>391</v>
      </c>
      <c r="D6" s="10" t="s">
        <v>392</v>
      </c>
      <c r="E6" s="10" t="s">
        <v>392</v>
      </c>
      <c r="F6" s="10" t="s">
        <v>391</v>
      </c>
      <c r="G6" s="10" t="s">
        <v>391</v>
      </c>
      <c r="H6" s="10" t="s">
        <v>392</v>
      </c>
      <c r="I6" s="10" t="s">
        <v>392</v>
      </c>
      <c r="J6" s="10" t="s">
        <v>391</v>
      </c>
      <c r="K6" s="10" t="s">
        <v>391</v>
      </c>
      <c r="L6" s="10" t="s">
        <v>392</v>
      </c>
      <c r="M6" s="10" t="s">
        <v>392</v>
      </c>
    </row>
    <row r="7" customFormat="false" ht="15" hidden="false" customHeight="false" outlineLevel="0" collapsed="false">
      <c r="A7" s="9" t="s">
        <v>394</v>
      </c>
      <c r="B7" s="10" t="n">
        <v>30</v>
      </c>
      <c r="C7" s="10" t="n">
        <v>30</v>
      </c>
      <c r="D7" s="10" t="n">
        <v>25</v>
      </c>
      <c r="E7" s="10" t="n">
        <v>20</v>
      </c>
      <c r="F7" s="10" t="n">
        <v>20</v>
      </c>
      <c r="G7" s="10" t="n">
        <v>20</v>
      </c>
      <c r="H7" s="10" t="n">
        <v>15</v>
      </c>
      <c r="I7" s="10" t="n">
        <v>10</v>
      </c>
      <c r="J7" s="10" t="n">
        <v>10</v>
      </c>
      <c r="K7" s="10" t="n">
        <v>10</v>
      </c>
      <c r="L7" s="10" t="n">
        <v>5</v>
      </c>
      <c r="M7" s="10" t="n">
        <v>0</v>
      </c>
    </row>
    <row r="8" customFormat="false" ht="15" hidden="false" customHeight="false" outlineLevel="0" collapsed="false">
      <c r="A8" s="9" t="s">
        <v>395</v>
      </c>
      <c r="B8" s="10" t="n">
        <v>25</v>
      </c>
      <c r="C8" s="10" t="n">
        <v>25</v>
      </c>
      <c r="D8" s="10" t="n">
        <v>25</v>
      </c>
      <c r="E8" s="10" t="n">
        <v>20</v>
      </c>
      <c r="F8" s="10" t="n">
        <v>20</v>
      </c>
      <c r="G8" s="10" t="n">
        <v>20</v>
      </c>
      <c r="H8" s="10" t="n">
        <v>15</v>
      </c>
      <c r="I8" s="10" t="n">
        <v>10</v>
      </c>
      <c r="J8" s="10" t="n">
        <v>10</v>
      </c>
      <c r="K8" s="10" t="n">
        <v>10</v>
      </c>
      <c r="L8" s="10" t="n">
        <v>5</v>
      </c>
      <c r="M8" s="10" t="n">
        <v>0</v>
      </c>
    </row>
    <row r="11" customFormat="false" ht="16.15" hidden="false" customHeight="false" outlineLevel="0" collapsed="false">
      <c r="A11" s="5" t="s">
        <v>396</v>
      </c>
    </row>
    <row r="12" customFormat="false" ht="15" hidden="false" customHeight="false" outlineLevel="0" collapsed="false">
      <c r="A12" s="3" t="s">
        <v>373</v>
      </c>
      <c r="B12" s="3" t="s">
        <v>397</v>
      </c>
      <c r="C12" s="3" t="s">
        <v>398</v>
      </c>
      <c r="D12" s="3" t="s">
        <v>399</v>
      </c>
      <c r="E12" s="3" t="s">
        <v>400</v>
      </c>
      <c r="F12" s="3" t="s">
        <v>401</v>
      </c>
      <c r="G12" s="3" t="s">
        <v>402</v>
      </c>
      <c r="H12" s="3" t="s">
        <v>403</v>
      </c>
      <c r="I12" s="3" t="s">
        <v>404</v>
      </c>
      <c r="J12" s="3" t="s">
        <v>405</v>
      </c>
      <c r="K12" s="3"/>
      <c r="L12" s="3"/>
      <c r="M12" s="3"/>
    </row>
    <row r="13" customFormat="false" ht="15" hidden="false" customHeight="false" outlineLevel="0" collapsed="false">
      <c r="A13" s="9" t="s">
        <v>386</v>
      </c>
      <c r="B13" s="10" t="s">
        <v>387</v>
      </c>
      <c r="C13" s="10" t="s">
        <v>387</v>
      </c>
      <c r="D13" s="10" t="s">
        <v>387</v>
      </c>
      <c r="E13" s="10" t="s">
        <v>388</v>
      </c>
      <c r="F13" s="10" t="s">
        <v>388</v>
      </c>
      <c r="G13" s="10" t="s">
        <v>388</v>
      </c>
      <c r="H13" s="10" t="s">
        <v>389</v>
      </c>
      <c r="I13" s="10" t="s">
        <v>389</v>
      </c>
      <c r="J13" s="10" t="s">
        <v>389</v>
      </c>
    </row>
    <row r="14" customFormat="false" ht="15" hidden="false" customHeight="false" outlineLevel="0" collapsed="false">
      <c r="A14" s="9" t="s">
        <v>390</v>
      </c>
      <c r="B14" s="10" t="s">
        <v>349</v>
      </c>
      <c r="C14" s="10" t="s">
        <v>391</v>
      </c>
      <c r="D14" s="10" t="s">
        <v>392</v>
      </c>
      <c r="E14" s="10" t="s">
        <v>349</v>
      </c>
      <c r="F14" s="10" t="s">
        <v>391</v>
      </c>
      <c r="G14" s="10" t="s">
        <v>392</v>
      </c>
      <c r="H14" s="10" t="s">
        <v>349</v>
      </c>
      <c r="I14" s="10" t="s">
        <v>391</v>
      </c>
      <c r="J14" s="10" t="s">
        <v>392</v>
      </c>
    </row>
    <row r="15" customFormat="false" ht="15" hidden="false" customHeight="false" outlineLevel="0" collapsed="false">
      <c r="A15" s="9" t="s">
        <v>393</v>
      </c>
      <c r="B15" s="10" t="s">
        <v>391</v>
      </c>
      <c r="C15" s="10" t="s">
        <v>392</v>
      </c>
      <c r="D15" s="10" t="s">
        <v>392</v>
      </c>
      <c r="E15" s="10" t="s">
        <v>391</v>
      </c>
      <c r="F15" s="10" t="s">
        <v>392</v>
      </c>
      <c r="G15" s="10" t="s">
        <v>392</v>
      </c>
      <c r="H15" s="10" t="s">
        <v>391</v>
      </c>
      <c r="I15" s="10" t="s">
        <v>392</v>
      </c>
      <c r="J15" s="10" t="s">
        <v>392</v>
      </c>
    </row>
    <row r="16" customFormat="false" ht="15" hidden="false" customHeight="false" outlineLevel="0" collapsed="false">
      <c r="A16" s="9" t="s">
        <v>395</v>
      </c>
      <c r="B16" s="10" t="n">
        <v>25</v>
      </c>
      <c r="C16" s="10" t="n">
        <v>25</v>
      </c>
      <c r="D16" s="10" t="n">
        <v>20</v>
      </c>
      <c r="E16" s="10" t="n">
        <v>20</v>
      </c>
      <c r="F16" s="10" t="n">
        <v>15</v>
      </c>
      <c r="G16" s="10" t="n">
        <v>10</v>
      </c>
      <c r="H16" s="10" t="n">
        <v>10</v>
      </c>
      <c r="I16" s="10" t="n">
        <v>5</v>
      </c>
      <c r="J16" s="10" t="n">
        <v>0</v>
      </c>
    </row>
    <row r="17" customFormat="false" ht="15" hidden="false" customHeight="false" outlineLevel="0" collapsed="false">
      <c r="A17" s="9" t="s">
        <v>406</v>
      </c>
      <c r="B17" s="10" t="s">
        <v>407</v>
      </c>
      <c r="C17" s="10" t="s">
        <v>376</v>
      </c>
      <c r="D17" s="10" t="s">
        <v>377</v>
      </c>
      <c r="E17" s="10" t="s">
        <v>408</v>
      </c>
      <c r="F17" s="10" t="s">
        <v>380</v>
      </c>
      <c r="G17" s="10" t="s">
        <v>381</v>
      </c>
      <c r="H17" s="10" t="s">
        <v>409</v>
      </c>
      <c r="I17" s="10" t="s">
        <v>384</v>
      </c>
      <c r="J17" s="10" t="s">
        <v>385</v>
      </c>
    </row>
    <row r="18" customFormat="false" ht="15" hidden="false" customHeight="false" outlineLevel="0" collapsed="false">
      <c r="A18" s="9" t="s">
        <v>410</v>
      </c>
      <c r="B18" s="10" t="s">
        <v>128</v>
      </c>
      <c r="C18" s="10" t="s">
        <v>134</v>
      </c>
      <c r="D18" s="10" t="s">
        <v>139</v>
      </c>
      <c r="E18" s="10" t="s">
        <v>143</v>
      </c>
      <c r="F18" s="10" t="s">
        <v>147</v>
      </c>
      <c r="G18" s="10" t="s">
        <v>151</v>
      </c>
      <c r="H18" s="10" t="s">
        <v>155</v>
      </c>
      <c r="I18" s="10" t="s">
        <v>159</v>
      </c>
      <c r="J18" s="10" t="s">
        <v>163</v>
      </c>
    </row>
    <row r="20" customFormat="false" ht="15" hidden="false" customHeight="false" outlineLevel="0" collapsed="false">
      <c r="A20" s="8" t="s">
        <v>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26"/>
  </cols>
  <sheetData>
    <row r="1" customFormat="false" ht="16.15" hidden="false" customHeight="false" outlineLevel="0" collapsed="false">
      <c r="A1" s="5" t="s">
        <v>412</v>
      </c>
    </row>
    <row r="3" customFormat="false" ht="15" hidden="false" customHeight="false" outlineLevel="0" collapsed="false">
      <c r="A3" s="3" t="s">
        <v>413</v>
      </c>
      <c r="B3" s="3" t="s">
        <v>414</v>
      </c>
      <c r="C3" s="3" t="s">
        <v>415</v>
      </c>
      <c r="D3" s="3" t="s">
        <v>416</v>
      </c>
      <c r="E3" s="3" t="s">
        <v>417</v>
      </c>
    </row>
    <row r="4" customFormat="false" ht="15" hidden="false" customHeight="false" outlineLevel="0" collapsed="false">
      <c r="A4" s="9" t="s">
        <v>418</v>
      </c>
      <c r="B4" s="11" t="s">
        <v>419</v>
      </c>
      <c r="C4" s="11" t="s">
        <v>420</v>
      </c>
      <c r="D4" s="12" t="s">
        <v>421</v>
      </c>
      <c r="E4" s="12" t="s">
        <v>422</v>
      </c>
    </row>
    <row r="5" customFormat="false" ht="15" hidden="false" customHeight="false" outlineLevel="0" collapsed="false">
      <c r="A5" s="9" t="s">
        <v>423</v>
      </c>
      <c r="B5" s="12" t="s">
        <v>424</v>
      </c>
      <c r="C5" s="11" t="s">
        <v>425</v>
      </c>
      <c r="D5" s="11" t="s">
        <v>426</v>
      </c>
      <c r="E5" s="12" t="s">
        <v>427</v>
      </c>
    </row>
    <row r="6" customFormat="false" ht="15" hidden="false" customHeight="false" outlineLevel="0" collapsed="false">
      <c r="A6" s="9" t="s">
        <v>428</v>
      </c>
      <c r="B6" s="12" t="s">
        <v>429</v>
      </c>
      <c r="C6" s="12" t="s">
        <v>430</v>
      </c>
      <c r="D6" s="12" t="s">
        <v>431</v>
      </c>
      <c r="E6" s="12" t="s">
        <v>432</v>
      </c>
    </row>
    <row r="7" customFormat="false" ht="15" hidden="false" customHeight="false" outlineLevel="0" collapsed="false">
      <c r="A7" s="9" t="s">
        <v>433</v>
      </c>
      <c r="B7" s="12" t="s">
        <v>434</v>
      </c>
      <c r="C7" s="12" t="s">
        <v>435</v>
      </c>
      <c r="D7" s="12" t="s">
        <v>436</v>
      </c>
      <c r="E7" s="11" t="s">
        <v>437</v>
      </c>
    </row>
    <row r="8" customFormat="false" ht="15" hidden="false" customHeight="false" outlineLevel="0" collapsed="false">
      <c r="A8" s="9" t="s">
        <v>438</v>
      </c>
      <c r="B8" s="12" t="s">
        <v>439</v>
      </c>
      <c r="C8" s="12" t="s">
        <v>440</v>
      </c>
      <c r="D8" s="12" t="s">
        <v>441</v>
      </c>
      <c r="E8" s="12" t="s">
        <v>442</v>
      </c>
    </row>
    <row r="9" customFormat="false" ht="15" hidden="false" customHeight="false" outlineLevel="0" collapsed="false">
      <c r="A9" s="9" t="s">
        <v>443</v>
      </c>
      <c r="B9" s="12" t="s">
        <v>444</v>
      </c>
      <c r="C9" s="12" t="s">
        <v>445</v>
      </c>
      <c r="D9" s="12" t="s">
        <v>446</v>
      </c>
      <c r="E9" s="12" t="s">
        <v>447</v>
      </c>
    </row>
    <row r="11" customFormat="false" ht="15" hidden="false" customHeight="false" outlineLevel="0" collapsed="false">
      <c r="A11" s="8" t="s">
        <v>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2026-10-09T05:57:41Z</dcterms:created>
  <dc:creator>openpyxl</dc:creator>
  <dc:description/>
  <dc:language>en-US</dc:language>
  <cp:lastModifiedBy/>
  <dcterms:modified xsi:type="dcterms:W3CDTF">2026-10-09T05:57:41Z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